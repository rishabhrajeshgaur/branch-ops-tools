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s" sheetId="1" r:id="rId1"/>
    <sheet name="Borrowers" sheetId="2" r:id="rId2"/>
    <sheet name="Credit_Scorecard" sheetId="3" r:id="rId3"/>
    <sheet name="Ageing_Summary" sheetId="4" r:id="rId4"/>
    <sheet name="Audit_Checklist" sheetId="5" r:id="rId5"/>
    <sheet name="Dashboard" sheetId="6" r:id="rId6"/>
  </sheets>
  <definedNames>
    <definedName name="_xlnm._FilterDatabase" localSheetId="1" hidden="1">Borrowers!$A$1:$R$31</definedName>
    <definedName name="_xlnm._FilterDatabase" localSheetId="0" hidden="1">Loans!$A$1:$Y$31</definedName>
  </definedNames>
  <calcPr calcId="124519" fullCalcOnLoad="1"/>
</workbook>
</file>

<file path=xl/sharedStrings.xml><?xml version="1.0" encoding="utf-8"?>
<sst xmlns="http://schemas.openxmlformats.org/spreadsheetml/2006/main" count="756" uniqueCount="323">
  <si>
    <t>Loan_ID</t>
  </si>
  <si>
    <t>Branch</t>
  </si>
  <si>
    <t>Customer_Name</t>
  </si>
  <si>
    <t>Sanction_Date</t>
  </si>
  <si>
    <t>Tenor_Months</t>
  </si>
  <si>
    <t>Loan_Amount</t>
  </si>
  <si>
    <t>Interest_Rate_%</t>
  </si>
  <si>
    <t>EMI</t>
  </si>
  <si>
    <t>CIBIL_Score</t>
  </si>
  <si>
    <t>DSCR</t>
  </si>
  <si>
    <t>LTV_%</t>
  </si>
  <si>
    <t>Collateral_Cover_%</t>
  </si>
  <si>
    <t>Security_Type</t>
  </si>
  <si>
    <t>Industry</t>
  </si>
  <si>
    <t>Overdue_Days</t>
  </si>
  <si>
    <t>Status</t>
  </si>
  <si>
    <t>Asset_Classification</t>
  </si>
  <si>
    <t>Interest_Due</t>
  </si>
  <si>
    <t>Provision_%</t>
  </si>
  <si>
    <t>Number_of_Renewals</t>
  </si>
  <si>
    <t>Interest_Coverage</t>
  </si>
  <si>
    <t>Cashflow_Variability</t>
  </si>
  <si>
    <t>Payment_Behaviour_Score</t>
  </si>
  <si>
    <t>EWI_Flags</t>
  </si>
  <si>
    <t>Ageing_Bucket</t>
  </si>
  <si>
    <t>LN1000</t>
  </si>
  <si>
    <t>LN1001</t>
  </si>
  <si>
    <t>LN1002</t>
  </si>
  <si>
    <t>LN1003</t>
  </si>
  <si>
    <t>LN1004</t>
  </si>
  <si>
    <t>LN1005</t>
  </si>
  <si>
    <t>LN1006</t>
  </si>
  <si>
    <t>LN1007</t>
  </si>
  <si>
    <t>LN1008</t>
  </si>
  <si>
    <t>LN1009</t>
  </si>
  <si>
    <t>LN1010</t>
  </si>
  <si>
    <t>LN1011</t>
  </si>
  <si>
    <t>LN1012</t>
  </si>
  <si>
    <t>LN1013</t>
  </si>
  <si>
    <t>LN1014</t>
  </si>
  <si>
    <t>LN1015</t>
  </si>
  <si>
    <t>LN1016</t>
  </si>
  <si>
    <t>LN1017</t>
  </si>
  <si>
    <t>LN1018</t>
  </si>
  <si>
    <t>LN1019</t>
  </si>
  <si>
    <t>LN1020</t>
  </si>
  <si>
    <t>LN1021</t>
  </si>
  <si>
    <t>LN1022</t>
  </si>
  <si>
    <t>LN1023</t>
  </si>
  <si>
    <t>LN1024</t>
  </si>
  <si>
    <t>LN1025</t>
  </si>
  <si>
    <t>LN1026</t>
  </si>
  <si>
    <t>LN1027</t>
  </si>
  <si>
    <t>LN1028</t>
  </si>
  <si>
    <t>LN1029</t>
  </si>
  <si>
    <t>Lucknow</t>
  </si>
  <si>
    <t>Varanasi</t>
  </si>
  <si>
    <t>Gurgaon</t>
  </si>
  <si>
    <t>Noida</t>
  </si>
  <si>
    <t>Kanpur</t>
  </si>
  <si>
    <t>Delhi Main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</si>
  <si>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</si>
  <si>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</si>
  <si>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</si>
  <si>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</si>
  <si>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</si>
  <si>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</si>
  <si>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</si>
  <si>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</si>
  <si>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</si>
  <si>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</si>
  <si>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</si>
  <si>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</si>
  <si>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</si>
  <si>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</si>
  <si>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</si>
  <si>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</si>
  <si>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</si>
  <si>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</si>
  <si>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</si>
  <si>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</si>
  <si>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</si>
  <si>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</si>
  <si>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</si>
  <si>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</si>
  <si>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</si>
  <si>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</si>
  <si>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</si>
  <si>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</si>
  <si>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</si>
  <si>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</si>
  <si>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Plant &amp; Machinery</t>
  </si>
  <si>
    <t>Cash Collateral</t>
  </si>
  <si>
    <t>Guarantee</t>
  </si>
  <si>
    <t>Hypothecation</t>
  </si>
  <si>
    <t>Land &amp; Building</t>
  </si>
  <si>
    <t>Agriculture</t>
  </si>
  <si>
    <t>Services</t>
  </si>
  <si>
    <t>Trade</t>
  </si>
  <si>
    <t>Manufacturing</t>
  </si>
  <si>
    <t>Transport</t>
  </si>
  <si>
    <t>Current</t>
  </si>
  <si>
    <t>Overdue</t>
  </si>
  <si>
    <t>Closed</t>
  </si>
  <si>
    <t>Restructured</t>
  </si>
  <si>
    <t>Standard</t>
  </si>
  <si>
    <t>Substandard</t>
  </si>
  <si>
    <t>Special Mention Account (SMA)</t>
  </si>
  <si>
    <t>OK</t>
  </si>
  <si>
    <t>High Cashflow Variability</t>
  </si>
  <si>
    <t>Low Interest Coverage, High Cashflow Variability</t>
  </si>
  <si>
    <t>Low Interest Coverage</t>
  </si>
  <si>
    <t>Current (0)</t>
  </si>
  <si>
    <t>31-60</t>
  </si>
  <si>
    <t>1-30</t>
  </si>
  <si>
    <t>Customer_ID</t>
  </si>
  <si>
    <t>PAN</t>
  </si>
  <si>
    <t>Constitution</t>
  </si>
  <si>
    <t>Avg_Annual_Revenue</t>
  </si>
  <si>
    <t>Net_Worth</t>
  </si>
  <si>
    <t>Primary_Contact</t>
  </si>
  <si>
    <t>Email</t>
  </si>
  <si>
    <t>GSTIN</t>
  </si>
  <si>
    <t>Current_Assets</t>
  </si>
  <si>
    <t>Current_Liabilities</t>
  </si>
  <si>
    <t>Inventory</t>
  </si>
  <si>
    <t>EBIT</t>
  </si>
  <si>
    <t>Interest_Expense</t>
  </si>
  <si>
    <t>Current_Ratio</t>
  </si>
  <si>
    <t>Quick_Assets</t>
  </si>
  <si>
    <t>Quick_Ratio</t>
  </si>
  <si>
    <t>Interest_Coverage_Ratio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</si>
  <si>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</si>
  <si>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</si>
  <si>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</si>
  <si>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</si>
  <si>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</si>
  <si>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</si>
  <si>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</si>
  <si>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</si>
  <si>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</si>
  <si>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</si>
  <si>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</si>
  <si>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</si>
  <si>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</si>
  <si>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</si>
  <si>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</si>
  <si>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</si>
  <si>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</si>
  <si>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</si>
  <si>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</si>
  <si>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</si>
  <si>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</si>
  <si>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</si>
  <si>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</si>
  <si>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</si>
  <si>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</si>
  <si>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</si>
  <si>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</si>
  <si>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</si>
  <si>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</si>
  <si>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</si>
  <si>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ABCDE1000F</t>
  </si>
  <si>
    <t>ABCDE1001F</t>
  </si>
  <si>
    <t>ABCDE1002F</t>
  </si>
  <si>
    <t>ABCDE1003F</t>
  </si>
  <si>
    <t>ABCDE1004F</t>
  </si>
  <si>
    <t>ABCDE1005F</t>
  </si>
  <si>
    <t>ABCDE1006F</t>
  </si>
  <si>
    <t>ABCDE1007F</t>
  </si>
  <si>
    <t>ABCDE1008F</t>
  </si>
  <si>
    <t>ABCDE1009F</t>
  </si>
  <si>
    <t>ABCDE1010F</t>
  </si>
  <si>
    <t>ABCDE1011F</t>
  </si>
  <si>
    <t>ABCDE1012F</t>
  </si>
  <si>
    <t>ABCDE1013F</t>
  </si>
  <si>
    <t>ABCDE1014F</t>
  </si>
  <si>
    <t>ABCDE1015F</t>
  </si>
  <si>
    <t>ABCDE1016F</t>
  </si>
  <si>
    <t>ABCDE1017F</t>
  </si>
  <si>
    <t>ABCDE1018F</t>
  </si>
  <si>
    <t>ABCDE1019F</t>
  </si>
  <si>
    <t>ABCDE1020F</t>
  </si>
  <si>
    <t>ABCDE1021F</t>
  </si>
  <si>
    <t>ABCDE1022F</t>
  </si>
  <si>
    <t>ABCDE1023F</t>
  </si>
  <si>
    <t>ABCDE1024F</t>
  </si>
  <si>
    <t>ABCDE1025F</t>
  </si>
  <si>
    <t>ABCDE1026F</t>
  </si>
  <si>
    <t>ABCDE1027F</t>
  </si>
  <si>
    <t>ABCDE1028F</t>
  </si>
  <si>
    <t>ABCDE1029F</t>
  </si>
  <si>
    <t>Public Ltd</t>
  </si>
  <si>
    <t>Private Ltd</t>
  </si>
  <si>
    <t>Proprietorship</t>
  </si>
  <si>
    <t>Partnership</t>
  </si>
  <si>
    <t>LLP</t>
  </si>
  <si>
    <t>+919664209236</t>
  </si>
  <si>
    <t>+919746036109</t>
  </si>
  <si>
    <t>+917914674098</t>
  </si>
  <si>
    <t>+917585711013</t>
  </si>
  <si>
    <t>+919651127487</t>
  </si>
  <si>
    <t>+917062468859</t>
  </si>
  <si>
    <t>+918505762085</t>
  </si>
  <si>
    <t>+919611717425</t>
  </si>
  <si>
    <t>+919533677153</t>
  </si>
  <si>
    <t>+919734366545</t>
  </si>
  <si>
    <t>+918684675357</t>
  </si>
  <si>
    <t>+919382914894</t>
  </si>
  <si>
    <t>+918878940506</t>
  </si>
  <si>
    <t>+917390850994</t>
  </si>
  <si>
    <t>+918495745843</t>
  </si>
  <si>
    <t>+919351263992</t>
  </si>
  <si>
    <t>+919207568037</t>
  </si>
  <si>
    <t>+918936645600</t>
  </si>
  <si>
    <t>+918703138299</t>
  </si>
  <si>
    <t>+918279726109</t>
  </si>
  <si>
    <t>+919671842038</t>
  </si>
  <si>
    <t>+919248854633</t>
  </si>
  <si>
    <t>+919996349008</t>
  </si>
  <si>
    <t>+917631675779</t>
  </si>
  <si>
    <t>+918972879497</t>
  </si>
  <si>
    <t>+919113623369</t>
  </si>
  <si>
    <t>+918109151227</t>
  </si>
  <si>
    <t>+917284481363</t>
  </si>
  <si>
    <t>+918971973079</t>
  </si>
  <si>
    <t>+917196972612</t>
  </si>
  <si>
    <t>cust1@example.com</t>
  </si>
  <si>
    <t>cust2@example.com</t>
  </si>
  <si>
    <t>cust3@example.com</t>
  </si>
  <si>
    <t>cust4@example.com</t>
  </si>
  <si>
    <t>cust5@example.com</t>
  </si>
  <si>
    <t>cust6@example.com</t>
  </si>
  <si>
    <t>cust7@example.com</t>
  </si>
  <si>
    <t>cust8@example.com</t>
  </si>
  <si>
    <t>cust9@example.com</t>
  </si>
  <si>
    <t>cust10@example.com</t>
  </si>
  <si>
    <t>cust11@example.com</t>
  </si>
  <si>
    <t>cust12@example.com</t>
  </si>
  <si>
    <t>cust13@example.com</t>
  </si>
  <si>
    <t>cust14@example.com</t>
  </si>
  <si>
    <t>cust15@example.com</t>
  </si>
  <si>
    <t>cust16@example.com</t>
  </si>
  <si>
    <t>cust17@example.com</t>
  </si>
  <si>
    <t>cust18@example.com</t>
  </si>
  <si>
    <t>cust19@example.com</t>
  </si>
  <si>
    <t>cust20@example.com</t>
  </si>
  <si>
    <t>cust21@example.com</t>
  </si>
  <si>
    <t>cust22@example.com</t>
  </si>
  <si>
    <t>cust23@example.com</t>
  </si>
  <si>
    <t>cust24@example.com</t>
  </si>
  <si>
    <t>cust25@example.com</t>
  </si>
  <si>
    <t>cust26@example.com</t>
  </si>
  <si>
    <t>cust27@example.com</t>
  </si>
  <si>
    <t>cust28@example.com</t>
  </si>
  <si>
    <t>cust29@example.com</t>
  </si>
  <si>
    <t>cust30@example.com</t>
  </si>
  <si>
    <t>07AAAAA10001Z5</t>
  </si>
  <si>
    <t>07AAAAA10011Z5</t>
  </si>
  <si>
    <t>07AAAAA10021Z5</t>
  </si>
  <si>
    <t>07AAAAA10031Z5</t>
  </si>
  <si>
    <t>07AAAAA10041Z5</t>
  </si>
  <si>
    <t>07AAAAA10051Z5</t>
  </si>
  <si>
    <t>07AAAAA10061Z5</t>
  </si>
  <si>
    <t>07AAAAA10071Z5</t>
  </si>
  <si>
    <t>07AAAAA10081Z5</t>
  </si>
  <si>
    <t>07AAAAA10091Z5</t>
  </si>
  <si>
    <t>07AAAAA10101Z5</t>
  </si>
  <si>
    <t>07AAAAA10111Z5</t>
  </si>
  <si>
    <t>07AAAAA10121Z5</t>
  </si>
  <si>
    <t>07AAAAA10131Z5</t>
  </si>
  <si>
    <t>07AAAAA10141Z5</t>
  </si>
  <si>
    <t>07AAAAA10151Z5</t>
  </si>
  <si>
    <t>07AAAAA10161Z5</t>
  </si>
  <si>
    <t>07AAAAA10171Z5</t>
  </si>
  <si>
    <t>07AAAAA10181Z5</t>
  </si>
  <si>
    <t>07AAAAA10191Z5</t>
  </si>
  <si>
    <t>07AAAAA10201Z5</t>
  </si>
  <si>
    <t>07AAAAA10211Z5</t>
  </si>
  <si>
    <t>07AAAAA10221Z5</t>
  </si>
  <si>
    <t>07AAAAA10231Z5</t>
  </si>
  <si>
    <t>07AAAAA10241Z5</t>
  </si>
  <si>
    <t>07AAAAA10251Z5</t>
  </si>
  <si>
    <t>07AAAAA10261Z5</t>
  </si>
  <si>
    <t>07AAAAA10271Z5</t>
  </si>
  <si>
    <t>07AAAAA10281Z5</t>
  </si>
  <si>
    <t>07AAAAA10291Z5</t>
  </si>
  <si>
    <t>Credit_Score_Weighted</t>
  </si>
  <si>
    <t>EWI_Score</t>
  </si>
  <si>
    <t>EWI_Risk_Band</t>
  </si>
  <si>
    <t>Medium Risk</t>
  </si>
  <si>
    <t>Low Risk</t>
  </si>
  <si>
    <t>Item</t>
  </si>
  <si>
    <t>Type</t>
  </si>
  <si>
    <t>Responsible</t>
  </si>
  <si>
    <t>Comments</t>
  </si>
  <si>
    <t>KYC Documents Verified</t>
  </si>
  <si>
    <t>Sanction Letter On File</t>
  </si>
  <si>
    <t>Disbursement Checklist Completed</t>
  </si>
  <si>
    <t>Collateral Valuation Report</t>
  </si>
  <si>
    <t>Post-Audit Compliance Update</t>
  </si>
  <si>
    <t>Repayment Schedule Correctness</t>
  </si>
  <si>
    <t>NPA Provisioning Correctness</t>
  </si>
  <si>
    <t>Internal Control Self-Assessment</t>
  </si>
  <si>
    <t>MIS Availability &amp; Accuracy</t>
  </si>
  <si>
    <t>Post-Audit Follow-up Actions Closed</t>
  </si>
  <si>
    <t>Pre-Audit</t>
  </si>
  <si>
    <t>Post-Audit</t>
  </si>
  <si>
    <t>Pending</t>
  </si>
  <si>
    <t>Completed</t>
  </si>
  <si>
    <t>Branch Credit Officer</t>
  </si>
  <si>
    <t>Branch RM</t>
  </si>
  <si>
    <t>Ops</t>
  </si>
  <si>
    <t>Valuation Team</t>
  </si>
  <si>
    <t>Credit Head</t>
  </si>
  <si>
    <t>Operations</t>
  </si>
  <si>
    <t>Finance</t>
  </si>
  <si>
    <t>Branch Manager</t>
  </si>
  <si>
    <t>IT</t>
  </si>
  <si>
    <t>Provisioning rules (reference):</t>
  </si>
  <si>
    <t>Standard -&gt; 0% ; Substandard -&gt; 15% ; Doubtful -&gt; 25% ; SMA -&gt; 10% ; Closed -&gt; 0%</t>
  </si>
  <si>
    <t>Provision_Schedule_%</t>
  </si>
  <si>
    <t>EWI_Score (Calc)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</si>
</sst>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fill>
        <patternFill>
          <bgColor rgb="FFFF9999"/>
        </patternFill>
      </fill>
    </dxf>
    <dxf>
      <fill>
        <patternFill>
          <bgColor rgb="FFFFD699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- Total Exposure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Exposure</c:v>
          </c:tx>
          <c:cat>
            <c:strRef>
              <c:f>Dashboard!$A$2:$A$7</c:f>
              <c:strCache>
                <c:ptCount val="6"/>
                <c:pt idx="0">
                  <c:v>Delhi Main</c:v>
                </c:pt>
                <c:pt idx="1">
                  <c:v>Gurgaon</c:v>
                </c:pt>
                <c:pt idx="2">
                  <c:v>Kanpur</c:v>
                </c:pt>
                <c:pt idx="3">
                  <c:v>Lucknow</c:v>
                </c:pt>
                <c:pt idx="4">
                  <c:v>Noida</c:v>
                </c:pt>
                <c:pt idx="5">
                  <c:v>Varanasi</c:v>
                </c:pt>
              </c:strCache>
            </c:strRef>
          </c:cat>
          <c:val>
            <c:numRef>
              <c:f>Dashboard!$B$2:$B$7</c:f>
              <c:numCache>
                <c:formatCode>General</c:formatCode>
                <c:ptCount val="6"/>
                <c:pt idx="0">
                  <c:v>30361000</c:v>
                </c:pt>
                <c:pt idx="1">
                  <c:v>47975000</c:v>
                </c:pt>
                <c:pt idx="2">
                  <c:v>30704000</c:v>
                </c:pt>
                <c:pt idx="3">
                  <c:v>54876000</c:v>
                </c:pt>
                <c:pt idx="4">
                  <c:v>30783000</c:v>
                </c:pt>
                <c:pt idx="5">
                  <c:v>53963000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EWI 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EWI Risk Distribution</c:v>
          </c:tx>
          <c:cat>
            <c:strRef>
              <c:f>Dashboard!$A$20:$A$21</c:f>
              <c:strCache>
                <c:ptCount val="2"/>
                <c:pt idx="0">
                  <c:v>Low Risk</c:v>
                </c:pt>
                <c:pt idx="1">
                  <c:v>Medium Risk</c:v>
                </c:pt>
              </c:strCache>
            </c:strRef>
          </c:cat>
          <c:val>
            <c:numRef>
              <c:f>Dashboard!$B$20:$B$21</c:f>
              <c:numCache>
                <c:formatCode>General</c:formatCode>
                <c:ptCount val="2"/>
                <c:pt idx="0">
                  <c:v>23</c:v>
                </c:pt>
                <c:pt idx="1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6" max="6" width="14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321</v>
      </c>
      <c r="AA1" t="s">
        <v>322</v>
      </c>
      <c r="AB1" t="s">
        <v>289</v>
      </c>
    </row>
    <row r="2" spans="1:28">
      <c r="A2" t="s">
        <v>25</v>
      </c>
      <c r="B2" t="s">
        <v>55</v>
      </c>
      <c r="C2" t="s">
        <v>61</v>
      </c>
      <c r="D2" s="3">
        <v>44620</v>
      </c>
      <c r="E2">
        <v>24</v>
      </c>
      <c r="F2" s="1">
        <v>13915000</v>
      </c>
      <c r="G2">
        <v>15.02</v>
      </c>
      <c r="H2">
        <v>674823.9399999999</v>
      </c>
      <c r="I2">
        <v>611</v>
      </c>
      <c r="J2">
        <v>0.82</v>
      </c>
      <c r="K2">
        <v>98</v>
      </c>
      <c r="L2">
        <v>2</v>
      </c>
      <c r="M2" t="s">
        <v>91</v>
      </c>
      <c r="N2" t="s">
        <v>96</v>
      </c>
      <c r="O2">
        <v>0</v>
      </c>
      <c r="P2" t="s">
        <v>101</v>
      </c>
      <c r="Q2" t="s">
        <v>105</v>
      </c>
      <c r="R2">
        <v>168909.96</v>
      </c>
      <c r="S2">
        <v>0</v>
      </c>
      <c r="T2">
        <v>0</v>
      </c>
      <c r="U2">
        <v>3.81</v>
      </c>
      <c r="V2">
        <v>0.59</v>
      </c>
      <c r="W2">
        <v>100</v>
      </c>
      <c r="X2" t="s">
        <v>108</v>
      </c>
      <c r="Y2" t="s">
        <v>112</v>
      </c>
      <c r="Z2">
        <f>IF(Q2="Standard",0,IF(Q2="Substandard",15,IF(Q2="Doubtful",25,IF(Q2="Special Mention Account (SMA)",10,0))))</f>
        <v>0</v>
      </c>
      <c r="AA2">
        <v>30</v>
      </c>
      <c r="AB2" t="s">
        <v>290</v>
      </c>
    </row>
    <row r="3" spans="1:28">
      <c r="A3" t="s">
        <v>26</v>
      </c>
      <c r="B3" t="s">
        <v>56</v>
      </c>
      <c r="C3" t="s">
        <v>62</v>
      </c>
      <c r="D3" s="3">
        <v>45072</v>
      </c>
      <c r="E3">
        <v>12</v>
      </c>
      <c r="F3" s="1">
        <v>10964000</v>
      </c>
      <c r="G3">
        <v>13.93</v>
      </c>
      <c r="H3">
        <v>984064.88</v>
      </c>
      <c r="I3">
        <v>765</v>
      </c>
      <c r="J3">
        <v>1.44</v>
      </c>
      <c r="K3">
        <v>97.40000000000001</v>
      </c>
      <c r="L3">
        <v>2.6</v>
      </c>
      <c r="M3" t="s">
        <v>91</v>
      </c>
      <c r="N3" t="s">
        <v>96</v>
      </c>
      <c r="O3">
        <v>60</v>
      </c>
      <c r="P3" t="s">
        <v>102</v>
      </c>
      <c r="Q3" t="s">
        <v>106</v>
      </c>
      <c r="R3">
        <v>369997.78</v>
      </c>
      <c r="S3">
        <v>5</v>
      </c>
      <c r="T3">
        <v>0</v>
      </c>
      <c r="U3">
        <v>3.55</v>
      </c>
      <c r="V3">
        <v>0.35</v>
      </c>
      <c r="W3">
        <v>86.5</v>
      </c>
      <c r="X3" t="s">
        <v>108</v>
      </c>
      <c r="Y3" t="s">
        <v>113</v>
      </c>
      <c r="Z3">
        <f>IF(Q3="Standard",0,IF(Q3="Substandard",15,IF(Q3="Doubtful",25,IF(Q3="Special Mention Account (SMA)",10,0))))</f>
        <v>0</v>
      </c>
      <c r="AA3">
        <v>5</v>
      </c>
      <c r="AB3" t="s">
        <v>291</v>
      </c>
    </row>
    <row r="4" spans="1:28">
      <c r="A4" t="s">
        <v>27</v>
      </c>
      <c r="B4" t="s">
        <v>57</v>
      </c>
      <c r="C4" t="s">
        <v>63</v>
      </c>
      <c r="D4" s="3">
        <v>45243</v>
      </c>
      <c r="E4">
        <v>24</v>
      </c>
      <c r="F4" s="1">
        <v>5033000</v>
      </c>
      <c r="G4">
        <v>13.58</v>
      </c>
      <c r="H4">
        <v>240651.43</v>
      </c>
      <c r="I4">
        <v>648</v>
      </c>
      <c r="J4">
        <v>1.07</v>
      </c>
      <c r="K4">
        <v>47.6</v>
      </c>
      <c r="L4">
        <v>52.4</v>
      </c>
      <c r="M4" t="s">
        <v>91</v>
      </c>
      <c r="N4" t="s">
        <v>97</v>
      </c>
      <c r="O4">
        <v>60</v>
      </c>
      <c r="P4" t="s">
        <v>102</v>
      </c>
      <c r="Q4" t="s">
        <v>106</v>
      </c>
      <c r="R4">
        <v>137714.49</v>
      </c>
      <c r="S4">
        <v>0</v>
      </c>
      <c r="T4">
        <v>0</v>
      </c>
      <c r="U4">
        <v>1.67</v>
      </c>
      <c r="V4">
        <v>0.71</v>
      </c>
      <c r="W4">
        <v>74.8</v>
      </c>
      <c r="X4" t="s">
        <v>109</v>
      </c>
      <c r="Y4" t="s">
        <v>113</v>
      </c>
      <c r="Z4">
        <f>IF(Q4="Standard",0,IF(Q4="Substandard",15,IF(Q4="Doubtful",25,IF(Q4="Special Mention Account (SMA)",10,0))))</f>
        <v>0</v>
      </c>
      <c r="AA4">
        <v>30</v>
      </c>
      <c r="AB4" t="s">
        <v>290</v>
      </c>
    </row>
    <row r="5" spans="1:28">
      <c r="A5" t="s">
        <v>28</v>
      </c>
      <c r="B5" t="s">
        <v>56</v>
      </c>
      <c r="C5" t="s">
        <v>64</v>
      </c>
      <c r="D5" s="3">
        <v>45037</v>
      </c>
      <c r="E5">
        <v>60</v>
      </c>
      <c r="F5" s="1">
        <v>8643000</v>
      </c>
      <c r="G5">
        <v>13.62</v>
      </c>
      <c r="H5">
        <v>199408.83</v>
      </c>
      <c r="I5">
        <v>721</v>
      </c>
      <c r="J5">
        <v>3.3</v>
      </c>
      <c r="K5">
        <v>64.8</v>
      </c>
      <c r="L5">
        <v>35.2</v>
      </c>
      <c r="M5" t="s">
        <v>92</v>
      </c>
      <c r="N5" t="s">
        <v>96</v>
      </c>
      <c r="O5">
        <v>7</v>
      </c>
      <c r="P5" t="s">
        <v>102</v>
      </c>
      <c r="Q5" t="s">
        <v>106</v>
      </c>
      <c r="R5">
        <v>63607.26</v>
      </c>
      <c r="S5">
        <v>5</v>
      </c>
      <c r="T5">
        <v>0</v>
      </c>
      <c r="U5">
        <v>5.7</v>
      </c>
      <c r="V5">
        <v>0.48</v>
      </c>
      <c r="W5">
        <v>100</v>
      </c>
      <c r="X5" t="s">
        <v>108</v>
      </c>
      <c r="Y5" t="s">
        <v>114</v>
      </c>
      <c r="Z5">
        <f>IF(Q5="Standard",0,IF(Q5="Substandard",15,IF(Q5="Doubtful",25,IF(Q5="Special Mention Account (SMA)",10,0))))</f>
        <v>0</v>
      </c>
      <c r="AA5">
        <v>0</v>
      </c>
      <c r="AB5" t="s">
        <v>291</v>
      </c>
    </row>
    <row r="6" spans="1:28">
      <c r="A6" t="s">
        <v>29</v>
      </c>
      <c r="B6" t="s">
        <v>56</v>
      </c>
      <c r="C6" t="s">
        <v>65</v>
      </c>
      <c r="D6" s="3">
        <v>45261</v>
      </c>
      <c r="E6">
        <v>24</v>
      </c>
      <c r="F6" s="1">
        <v>7908000</v>
      </c>
      <c r="G6">
        <v>10.88</v>
      </c>
      <c r="H6">
        <v>368134.36</v>
      </c>
      <c r="I6">
        <v>763</v>
      </c>
      <c r="J6">
        <v>2.94</v>
      </c>
      <c r="K6">
        <v>51.1</v>
      </c>
      <c r="L6">
        <v>48.9</v>
      </c>
      <c r="M6" t="s">
        <v>93</v>
      </c>
      <c r="N6" t="s">
        <v>97</v>
      </c>
      <c r="O6">
        <v>0</v>
      </c>
      <c r="P6" t="s">
        <v>101</v>
      </c>
      <c r="Q6" t="s">
        <v>105</v>
      </c>
      <c r="R6">
        <v>126869.43</v>
      </c>
      <c r="S6">
        <v>0</v>
      </c>
      <c r="T6">
        <v>0</v>
      </c>
      <c r="U6">
        <v>4.8</v>
      </c>
      <c r="V6">
        <v>0.38</v>
      </c>
      <c r="W6">
        <v>100</v>
      </c>
      <c r="X6" t="s">
        <v>108</v>
      </c>
      <c r="Y6" t="s">
        <v>112</v>
      </c>
      <c r="Z6">
        <f>IF(Q6="Standard",0,IF(Q6="Substandard",15,IF(Q6="Doubtful",25,IF(Q6="Special Mention Account (SMA)",10,0))))</f>
        <v>0</v>
      </c>
      <c r="AA6">
        <v>0</v>
      </c>
      <c r="AB6" t="s">
        <v>291</v>
      </c>
    </row>
    <row r="7" spans="1:28">
      <c r="A7" t="s">
        <v>30</v>
      </c>
      <c r="B7" t="s">
        <v>58</v>
      </c>
      <c r="C7" t="s">
        <v>66</v>
      </c>
      <c r="D7" s="3">
        <v>45537</v>
      </c>
      <c r="E7">
        <v>48</v>
      </c>
      <c r="F7" s="1">
        <v>14425000</v>
      </c>
      <c r="G7">
        <v>10.35</v>
      </c>
      <c r="H7">
        <v>368284.67</v>
      </c>
      <c r="I7">
        <v>584</v>
      </c>
      <c r="J7">
        <v>2.44</v>
      </c>
      <c r="K7">
        <v>49.9</v>
      </c>
      <c r="L7">
        <v>50.1</v>
      </c>
      <c r="M7" t="s">
        <v>94</v>
      </c>
      <c r="N7" t="s">
        <v>98</v>
      </c>
      <c r="O7">
        <v>0</v>
      </c>
      <c r="P7" t="s">
        <v>101</v>
      </c>
      <c r="Q7" t="s">
        <v>105</v>
      </c>
      <c r="R7">
        <v>101166.68</v>
      </c>
      <c r="S7">
        <v>5</v>
      </c>
      <c r="T7">
        <v>0</v>
      </c>
      <c r="U7">
        <v>1.12</v>
      </c>
      <c r="V7">
        <v>0.71</v>
      </c>
      <c r="W7">
        <v>98.40000000000001</v>
      </c>
      <c r="X7" t="s">
        <v>110</v>
      </c>
      <c r="Y7" t="s">
        <v>112</v>
      </c>
      <c r="Z7">
        <f>IF(Q7="Standard",0,IF(Q7="Substandard",15,IF(Q7="Doubtful",25,IF(Q7="Special Mention Account (SMA)",10,0))))</f>
        <v>0</v>
      </c>
      <c r="AA7">
        <v>30</v>
      </c>
      <c r="AB7" t="s">
        <v>290</v>
      </c>
    </row>
    <row r="8" spans="1:28">
      <c r="A8" t="s">
        <v>31</v>
      </c>
      <c r="B8" t="s">
        <v>57</v>
      </c>
      <c r="C8" t="s">
        <v>67</v>
      </c>
      <c r="D8" s="3">
        <v>45344</v>
      </c>
      <c r="E8">
        <v>48</v>
      </c>
      <c r="F8" s="1">
        <v>12699000</v>
      </c>
      <c r="G8">
        <v>14.47</v>
      </c>
      <c r="H8">
        <v>350020.34</v>
      </c>
      <c r="I8">
        <v>776</v>
      </c>
      <c r="J8">
        <v>3.13</v>
      </c>
      <c r="K8">
        <v>32.6</v>
      </c>
      <c r="L8">
        <v>67.40000000000001</v>
      </c>
      <c r="M8" t="s">
        <v>92</v>
      </c>
      <c r="N8" t="s">
        <v>97</v>
      </c>
      <c r="O8">
        <v>15</v>
      </c>
      <c r="P8" t="s">
        <v>102</v>
      </c>
      <c r="Q8" t="s">
        <v>106</v>
      </c>
      <c r="R8">
        <v>155901.15</v>
      </c>
      <c r="S8">
        <v>0</v>
      </c>
      <c r="T8">
        <v>0</v>
      </c>
      <c r="U8">
        <v>5.62</v>
      </c>
      <c r="V8">
        <v>0.25</v>
      </c>
      <c r="W8">
        <v>100</v>
      </c>
      <c r="X8" t="s">
        <v>108</v>
      </c>
      <c r="Y8" t="s">
        <v>114</v>
      </c>
      <c r="Z8">
        <f>IF(Q8="Standard",0,IF(Q8="Substandard",15,IF(Q8="Doubtful",25,IF(Q8="Special Mention Account (SMA)",10,0))))</f>
        <v>0</v>
      </c>
      <c r="AA8">
        <v>0</v>
      </c>
      <c r="AB8" t="s">
        <v>291</v>
      </c>
    </row>
    <row r="9" spans="1:28">
      <c r="A9" t="s">
        <v>32</v>
      </c>
      <c r="B9" t="s">
        <v>57</v>
      </c>
      <c r="C9" t="s">
        <v>68</v>
      </c>
      <c r="D9" s="3">
        <v>44751</v>
      </c>
      <c r="E9">
        <v>48</v>
      </c>
      <c r="F9" s="1">
        <v>11260000</v>
      </c>
      <c r="G9">
        <v>14.48</v>
      </c>
      <c r="H9">
        <v>310414.2</v>
      </c>
      <c r="I9">
        <v>650</v>
      </c>
      <c r="J9">
        <v>2.93</v>
      </c>
      <c r="K9">
        <v>72.7</v>
      </c>
      <c r="L9">
        <v>27.3</v>
      </c>
      <c r="M9" t="s">
        <v>91</v>
      </c>
      <c r="N9" t="s">
        <v>97</v>
      </c>
      <c r="O9">
        <v>60</v>
      </c>
      <c r="P9" t="s">
        <v>102</v>
      </c>
      <c r="Q9" t="s">
        <v>106</v>
      </c>
      <c r="R9">
        <v>105095.9</v>
      </c>
      <c r="S9">
        <v>2</v>
      </c>
      <c r="T9">
        <v>0</v>
      </c>
      <c r="U9">
        <v>5.86</v>
      </c>
      <c r="V9">
        <v>0.33</v>
      </c>
      <c r="W9">
        <v>75</v>
      </c>
      <c r="X9" t="s">
        <v>108</v>
      </c>
      <c r="Y9" t="s">
        <v>113</v>
      </c>
      <c r="Z9">
        <f>IF(Q9="Standard",0,IF(Q9="Substandard",15,IF(Q9="Doubtful",25,IF(Q9="Special Mention Account (SMA)",10,0))))</f>
        <v>0</v>
      </c>
      <c r="AA9">
        <v>5</v>
      </c>
      <c r="AB9" t="s">
        <v>291</v>
      </c>
    </row>
    <row r="10" spans="1:28">
      <c r="A10" t="s">
        <v>33</v>
      </c>
      <c r="B10" t="s">
        <v>57</v>
      </c>
      <c r="C10" t="s">
        <v>69</v>
      </c>
      <c r="D10" s="3">
        <v>45519</v>
      </c>
      <c r="E10">
        <v>48</v>
      </c>
      <c r="F10" s="1">
        <v>8187000</v>
      </c>
      <c r="G10">
        <v>14.94</v>
      </c>
      <c r="H10">
        <v>227601.41</v>
      </c>
      <c r="I10">
        <v>680</v>
      </c>
      <c r="J10">
        <v>1.14</v>
      </c>
      <c r="K10">
        <v>65.2</v>
      </c>
      <c r="L10">
        <v>34.8</v>
      </c>
      <c r="M10" t="s">
        <v>95</v>
      </c>
      <c r="N10" t="s">
        <v>96</v>
      </c>
      <c r="O10">
        <v>60</v>
      </c>
      <c r="P10" t="s">
        <v>102</v>
      </c>
      <c r="Q10" t="s">
        <v>106</v>
      </c>
      <c r="R10">
        <v>85316.60000000001</v>
      </c>
      <c r="S10">
        <v>0</v>
      </c>
      <c r="T10">
        <v>0</v>
      </c>
      <c r="U10">
        <v>5.98</v>
      </c>
      <c r="V10">
        <v>0.43</v>
      </c>
      <c r="W10">
        <v>78</v>
      </c>
      <c r="X10" t="s">
        <v>108</v>
      </c>
      <c r="Y10" t="s">
        <v>113</v>
      </c>
      <c r="Z10">
        <f>IF(Q10="Standard",0,IF(Q10="Substandard",15,IF(Q10="Doubtful",25,IF(Q10="Special Mention Account (SMA)",10,0))))</f>
        <v>0</v>
      </c>
      <c r="AA10">
        <v>15</v>
      </c>
      <c r="AB10" t="s">
        <v>291</v>
      </c>
    </row>
    <row r="11" spans="1:28">
      <c r="A11" t="s">
        <v>34</v>
      </c>
      <c r="B11" t="s">
        <v>56</v>
      </c>
      <c r="C11" t="s">
        <v>70</v>
      </c>
      <c r="D11" s="3">
        <v>45248</v>
      </c>
      <c r="E11">
        <v>60</v>
      </c>
      <c r="F11" s="1">
        <v>8884000</v>
      </c>
      <c r="G11">
        <v>15.31</v>
      </c>
      <c r="H11">
        <v>212798.12</v>
      </c>
      <c r="I11">
        <v>806</v>
      </c>
      <c r="J11">
        <v>3.19</v>
      </c>
      <c r="K11">
        <v>33.6</v>
      </c>
      <c r="L11">
        <v>66.40000000000001</v>
      </c>
      <c r="M11" t="s">
        <v>91</v>
      </c>
      <c r="N11" t="s">
        <v>96</v>
      </c>
      <c r="O11">
        <v>30</v>
      </c>
      <c r="P11" t="s">
        <v>102</v>
      </c>
      <c r="Q11" t="s">
        <v>106</v>
      </c>
      <c r="R11">
        <v>117356.63</v>
      </c>
      <c r="S11">
        <v>0</v>
      </c>
      <c r="T11">
        <v>0</v>
      </c>
      <c r="U11">
        <v>0.8100000000000001</v>
      </c>
      <c r="V11">
        <v>0.25</v>
      </c>
      <c r="W11">
        <v>100</v>
      </c>
      <c r="X11" t="s">
        <v>111</v>
      </c>
      <c r="Y11" t="s">
        <v>114</v>
      </c>
      <c r="Z11">
        <f>IF(Q11="Standard",0,IF(Q11="Substandard",15,IF(Q11="Doubtful",25,IF(Q11="Special Mention Account (SMA)",10,0))))</f>
        <v>0</v>
      </c>
      <c r="AA11">
        <v>30</v>
      </c>
      <c r="AB11" t="s">
        <v>290</v>
      </c>
    </row>
    <row r="12" spans="1:28">
      <c r="A12" t="s">
        <v>35</v>
      </c>
      <c r="B12" t="s">
        <v>55</v>
      </c>
      <c r="C12" t="s">
        <v>71</v>
      </c>
      <c r="D12" s="3">
        <v>45519</v>
      </c>
      <c r="E12">
        <v>36</v>
      </c>
      <c r="F12" s="1">
        <v>14486000</v>
      </c>
      <c r="G12">
        <v>12.09</v>
      </c>
      <c r="H12">
        <v>481765.42</v>
      </c>
      <c r="I12">
        <v>554</v>
      </c>
      <c r="J12">
        <v>2.16</v>
      </c>
      <c r="K12">
        <v>49.5</v>
      </c>
      <c r="L12">
        <v>50.5</v>
      </c>
      <c r="M12" t="s">
        <v>93</v>
      </c>
      <c r="N12" t="s">
        <v>99</v>
      </c>
      <c r="O12">
        <v>7</v>
      </c>
      <c r="P12" t="s">
        <v>102</v>
      </c>
      <c r="Q12" t="s">
        <v>106</v>
      </c>
      <c r="R12">
        <v>138666.89</v>
      </c>
      <c r="S12">
        <v>2</v>
      </c>
      <c r="T12">
        <v>0</v>
      </c>
      <c r="U12">
        <v>4.55</v>
      </c>
      <c r="V12">
        <v>0.41</v>
      </c>
      <c r="W12">
        <v>91.90000000000001</v>
      </c>
      <c r="X12" t="s">
        <v>108</v>
      </c>
      <c r="Y12" t="s">
        <v>114</v>
      </c>
      <c r="Z12">
        <f>IF(Q12="Standard",0,IF(Q12="Substandard",15,IF(Q12="Doubtful",25,IF(Q12="Special Mention Account (SMA)",10,0))))</f>
        <v>0</v>
      </c>
      <c r="AA12">
        <v>5</v>
      </c>
      <c r="AB12" t="s">
        <v>291</v>
      </c>
    </row>
    <row r="13" spans="1:28">
      <c r="A13" t="s">
        <v>36</v>
      </c>
      <c r="B13" t="s">
        <v>57</v>
      </c>
      <c r="C13" t="s">
        <v>72</v>
      </c>
      <c r="D13" s="3">
        <v>45124</v>
      </c>
      <c r="E13">
        <v>84</v>
      </c>
      <c r="F13" s="1">
        <v>9184000</v>
      </c>
      <c r="G13">
        <v>12.01</v>
      </c>
      <c r="H13">
        <v>162171.82</v>
      </c>
      <c r="I13">
        <v>767</v>
      </c>
      <c r="J13">
        <v>2.94</v>
      </c>
      <c r="K13">
        <v>93.59999999999999</v>
      </c>
      <c r="L13">
        <v>6.4</v>
      </c>
      <c r="M13" t="s">
        <v>91</v>
      </c>
      <c r="N13" t="s">
        <v>99</v>
      </c>
      <c r="O13">
        <v>0</v>
      </c>
      <c r="P13" t="s">
        <v>101</v>
      </c>
      <c r="Q13" t="s">
        <v>105</v>
      </c>
      <c r="R13">
        <v>33219.21</v>
      </c>
      <c r="S13">
        <v>0</v>
      </c>
      <c r="T13">
        <v>2</v>
      </c>
      <c r="U13">
        <v>3.5</v>
      </c>
      <c r="V13">
        <v>0.57</v>
      </c>
      <c r="W13">
        <v>100</v>
      </c>
      <c r="X13" t="s">
        <v>108</v>
      </c>
      <c r="Y13" t="s">
        <v>112</v>
      </c>
      <c r="Z13">
        <f>IF(Q13="Standard",0,IF(Q13="Substandard",15,IF(Q13="Doubtful",25,IF(Q13="Special Mention Account (SMA)",10,0))))</f>
        <v>0</v>
      </c>
      <c r="AA13">
        <v>0</v>
      </c>
      <c r="AB13" t="s">
        <v>291</v>
      </c>
    </row>
    <row r="14" spans="1:28">
      <c r="A14" t="s">
        <v>37</v>
      </c>
      <c r="B14" t="s">
        <v>59</v>
      </c>
      <c r="C14" t="s">
        <v>73</v>
      </c>
      <c r="D14" s="3">
        <v>45437</v>
      </c>
      <c r="E14">
        <v>12</v>
      </c>
      <c r="F14" s="1">
        <v>4285000</v>
      </c>
      <c r="G14">
        <v>14.39</v>
      </c>
      <c r="H14">
        <v>385524.55</v>
      </c>
      <c r="I14">
        <v>804</v>
      </c>
      <c r="J14">
        <v>3.2</v>
      </c>
      <c r="K14">
        <v>46.8</v>
      </c>
      <c r="L14">
        <v>53.2</v>
      </c>
      <c r="M14" t="s">
        <v>95</v>
      </c>
      <c r="N14" t="s">
        <v>98</v>
      </c>
      <c r="O14">
        <v>0</v>
      </c>
      <c r="P14" t="s">
        <v>101</v>
      </c>
      <c r="Q14" t="s">
        <v>105</v>
      </c>
      <c r="R14">
        <v>125057.05</v>
      </c>
      <c r="S14">
        <v>2</v>
      </c>
      <c r="T14">
        <v>0</v>
      </c>
      <c r="U14">
        <v>4.38</v>
      </c>
      <c r="V14">
        <v>0.74</v>
      </c>
      <c r="W14">
        <v>100</v>
      </c>
      <c r="X14" t="s">
        <v>109</v>
      </c>
      <c r="Y14" t="s">
        <v>112</v>
      </c>
      <c r="Z14">
        <f>IF(Q14="Standard",0,IF(Q14="Substandard",15,IF(Q14="Doubtful",25,IF(Q14="Special Mention Account (SMA)",10,0))))</f>
        <v>0</v>
      </c>
      <c r="AA14">
        <v>15</v>
      </c>
      <c r="AB14" t="s">
        <v>291</v>
      </c>
    </row>
    <row r="15" spans="1:28">
      <c r="A15" t="s">
        <v>38</v>
      </c>
      <c r="B15" t="s">
        <v>56</v>
      </c>
      <c r="C15" t="s">
        <v>74</v>
      </c>
      <c r="D15" s="3">
        <v>45128</v>
      </c>
      <c r="E15">
        <v>48</v>
      </c>
      <c r="F15" s="1">
        <v>4585000</v>
      </c>
      <c r="G15">
        <v>13.2</v>
      </c>
      <c r="H15">
        <v>123459.69</v>
      </c>
      <c r="I15">
        <v>756</v>
      </c>
      <c r="J15">
        <v>1.52</v>
      </c>
      <c r="K15">
        <v>40.1</v>
      </c>
      <c r="L15">
        <v>59.9</v>
      </c>
      <c r="M15" t="s">
        <v>93</v>
      </c>
      <c r="N15" t="s">
        <v>99</v>
      </c>
      <c r="O15">
        <v>60</v>
      </c>
      <c r="P15" t="s">
        <v>102</v>
      </c>
      <c r="Q15" t="s">
        <v>106</v>
      </c>
      <c r="R15">
        <v>54244.94</v>
      </c>
      <c r="S15">
        <v>0</v>
      </c>
      <c r="T15">
        <v>0</v>
      </c>
      <c r="U15">
        <v>5.83</v>
      </c>
      <c r="V15">
        <v>0.77</v>
      </c>
      <c r="W15">
        <v>85.59999999999999</v>
      </c>
      <c r="X15" t="s">
        <v>109</v>
      </c>
      <c r="Y15" t="s">
        <v>113</v>
      </c>
      <c r="Z15">
        <f>IF(Q15="Standard",0,IF(Q15="Substandard",15,IF(Q15="Doubtful",25,IF(Q15="Special Mention Account (SMA)",10,0))))</f>
        <v>0</v>
      </c>
      <c r="AA15">
        <v>15</v>
      </c>
      <c r="AB15" t="s">
        <v>291</v>
      </c>
    </row>
    <row r="16" spans="1:28">
      <c r="A16" t="s">
        <v>39</v>
      </c>
      <c r="B16" t="s">
        <v>58</v>
      </c>
      <c r="C16" t="s">
        <v>75</v>
      </c>
      <c r="D16" s="3">
        <v>44805</v>
      </c>
      <c r="E16">
        <v>24</v>
      </c>
      <c r="F16" s="1">
        <v>2646000</v>
      </c>
      <c r="G16">
        <v>13.62</v>
      </c>
      <c r="H16">
        <v>126567.6</v>
      </c>
      <c r="I16">
        <v>564</v>
      </c>
      <c r="J16">
        <v>0.92</v>
      </c>
      <c r="K16">
        <v>64.3</v>
      </c>
      <c r="L16">
        <v>35.7</v>
      </c>
      <c r="M16" t="s">
        <v>91</v>
      </c>
      <c r="N16" t="s">
        <v>97</v>
      </c>
      <c r="O16">
        <v>7</v>
      </c>
      <c r="P16" t="s">
        <v>102</v>
      </c>
      <c r="Q16" t="s">
        <v>106</v>
      </c>
      <c r="R16">
        <v>42219.3</v>
      </c>
      <c r="S16">
        <v>5</v>
      </c>
      <c r="T16">
        <v>0</v>
      </c>
      <c r="U16">
        <v>4.28</v>
      </c>
      <c r="V16">
        <v>0.82</v>
      </c>
      <c r="W16">
        <v>92.90000000000001</v>
      </c>
      <c r="X16" t="s">
        <v>109</v>
      </c>
      <c r="Y16" t="s">
        <v>114</v>
      </c>
      <c r="Z16">
        <f>IF(Q16="Standard",0,IF(Q16="Substandard",15,IF(Q16="Doubtful",25,IF(Q16="Special Mention Account (SMA)",10,0))))</f>
        <v>0</v>
      </c>
      <c r="AA16">
        <v>45</v>
      </c>
      <c r="AB16" t="s">
        <v>290</v>
      </c>
    </row>
    <row r="17" spans="1:28">
      <c r="A17" t="s">
        <v>40</v>
      </c>
      <c r="B17" t="s">
        <v>55</v>
      </c>
      <c r="C17" t="s">
        <v>76</v>
      </c>
      <c r="D17" s="3">
        <v>45393</v>
      </c>
      <c r="E17">
        <v>48</v>
      </c>
      <c r="F17" s="1">
        <v>431000</v>
      </c>
      <c r="G17">
        <v>14.37</v>
      </c>
      <c r="H17">
        <v>11857.86</v>
      </c>
      <c r="I17">
        <v>591</v>
      </c>
      <c r="J17">
        <v>1.26</v>
      </c>
      <c r="K17">
        <v>99</v>
      </c>
      <c r="L17">
        <v>1</v>
      </c>
      <c r="M17" t="s">
        <v>93</v>
      </c>
      <c r="N17" t="s">
        <v>96</v>
      </c>
      <c r="O17">
        <v>0</v>
      </c>
      <c r="P17" t="s">
        <v>101</v>
      </c>
      <c r="Q17" t="s">
        <v>105</v>
      </c>
      <c r="R17">
        <v>5060.62</v>
      </c>
      <c r="S17">
        <v>5</v>
      </c>
      <c r="T17">
        <v>0</v>
      </c>
      <c r="U17">
        <v>5.1</v>
      </c>
      <c r="V17">
        <v>0.74</v>
      </c>
      <c r="W17">
        <v>99.09999999999999</v>
      </c>
      <c r="X17" t="s">
        <v>109</v>
      </c>
      <c r="Y17" t="s">
        <v>112</v>
      </c>
      <c r="Z17">
        <f>IF(Q17="Standard",0,IF(Q17="Substandard",15,IF(Q17="Doubtful",25,IF(Q17="Special Mention Account (SMA)",10,0))))</f>
        <v>0</v>
      </c>
      <c r="AA17">
        <v>25</v>
      </c>
      <c r="AB17" t="s">
        <v>291</v>
      </c>
    </row>
    <row r="18" spans="1:28">
      <c r="A18" t="s">
        <v>41</v>
      </c>
      <c r="B18" t="s">
        <v>59</v>
      </c>
      <c r="C18" t="s">
        <v>77</v>
      </c>
      <c r="D18" s="3">
        <v>45066</v>
      </c>
      <c r="E18">
        <v>24</v>
      </c>
      <c r="F18" s="1">
        <v>6466000</v>
      </c>
      <c r="G18">
        <v>15.12</v>
      </c>
      <c r="H18">
        <v>313883.44</v>
      </c>
      <c r="I18">
        <v>728</v>
      </c>
      <c r="J18">
        <v>1.84</v>
      </c>
      <c r="K18">
        <v>46.9</v>
      </c>
      <c r="L18">
        <v>53.1</v>
      </c>
      <c r="M18" t="s">
        <v>94</v>
      </c>
      <c r="N18" t="s">
        <v>99</v>
      </c>
      <c r="O18">
        <v>0</v>
      </c>
      <c r="P18" t="s">
        <v>101</v>
      </c>
      <c r="Q18" t="s">
        <v>105</v>
      </c>
      <c r="R18">
        <v>43474.17</v>
      </c>
      <c r="S18">
        <v>0</v>
      </c>
      <c r="T18">
        <v>0</v>
      </c>
      <c r="U18">
        <v>5.27</v>
      </c>
      <c r="V18">
        <v>0.68</v>
      </c>
      <c r="W18">
        <v>100</v>
      </c>
      <c r="X18" t="s">
        <v>108</v>
      </c>
      <c r="Y18" t="s">
        <v>112</v>
      </c>
      <c r="Z18">
        <f>IF(Q18="Standard",0,IF(Q18="Substandard",15,IF(Q18="Doubtful",25,IF(Q18="Special Mention Account (SMA)",10,0))))</f>
        <v>0</v>
      </c>
      <c r="AA18">
        <v>0</v>
      </c>
      <c r="AB18" t="s">
        <v>291</v>
      </c>
    </row>
    <row r="19" spans="1:28">
      <c r="A19" t="s">
        <v>42</v>
      </c>
      <c r="B19" t="s">
        <v>59</v>
      </c>
      <c r="C19" t="s">
        <v>78</v>
      </c>
      <c r="D19" s="3">
        <v>44692</v>
      </c>
      <c r="E19">
        <v>84</v>
      </c>
      <c r="F19" s="1">
        <v>6044000</v>
      </c>
      <c r="G19">
        <v>10.7</v>
      </c>
      <c r="H19">
        <v>102537.1</v>
      </c>
      <c r="I19">
        <v>612</v>
      </c>
      <c r="J19">
        <v>2.97</v>
      </c>
      <c r="K19">
        <v>77</v>
      </c>
      <c r="L19">
        <v>23</v>
      </c>
      <c r="M19" t="s">
        <v>94</v>
      </c>
      <c r="N19" t="s">
        <v>99</v>
      </c>
      <c r="O19">
        <v>15</v>
      </c>
      <c r="P19" t="s">
        <v>103</v>
      </c>
      <c r="Q19" t="s">
        <v>105</v>
      </c>
      <c r="R19">
        <v>10799.14</v>
      </c>
      <c r="S19">
        <v>0</v>
      </c>
      <c r="T19">
        <v>0</v>
      </c>
      <c r="U19">
        <v>5.11</v>
      </c>
      <c r="V19">
        <v>0.24</v>
      </c>
      <c r="W19">
        <v>93.7</v>
      </c>
      <c r="X19" t="s">
        <v>108</v>
      </c>
      <c r="Y19" t="s">
        <v>114</v>
      </c>
      <c r="Z19">
        <f>IF(Q19="Standard",0,IF(Q19="Substandard",15,IF(Q19="Doubtful",25,IF(Q19="Special Mention Account (SMA)",10,0))))</f>
        <v>0</v>
      </c>
      <c r="AA19">
        <v>5</v>
      </c>
      <c r="AB19" t="s">
        <v>291</v>
      </c>
    </row>
    <row r="20" spans="1:28">
      <c r="A20" t="s">
        <v>43</v>
      </c>
      <c r="B20" t="s">
        <v>58</v>
      </c>
      <c r="C20" t="s">
        <v>79</v>
      </c>
      <c r="D20" s="3">
        <v>45046</v>
      </c>
      <c r="E20">
        <v>84</v>
      </c>
      <c r="F20" s="1">
        <v>4544000</v>
      </c>
      <c r="G20">
        <v>11</v>
      </c>
      <c r="H20">
        <v>77804.35000000001</v>
      </c>
      <c r="I20">
        <v>780</v>
      </c>
      <c r="J20">
        <v>3.1</v>
      </c>
      <c r="K20">
        <v>83.3</v>
      </c>
      <c r="L20">
        <v>16.7</v>
      </c>
      <c r="M20" t="s">
        <v>91</v>
      </c>
      <c r="N20" t="s">
        <v>98</v>
      </c>
      <c r="O20">
        <v>0</v>
      </c>
      <c r="P20" t="s">
        <v>101</v>
      </c>
      <c r="Q20" t="s">
        <v>105</v>
      </c>
      <c r="R20">
        <v>12383.37</v>
      </c>
      <c r="S20">
        <v>0</v>
      </c>
      <c r="T20">
        <v>0</v>
      </c>
      <c r="U20">
        <v>2.84</v>
      </c>
      <c r="V20">
        <v>0.4</v>
      </c>
      <c r="W20">
        <v>100</v>
      </c>
      <c r="X20" t="s">
        <v>108</v>
      </c>
      <c r="Y20" t="s">
        <v>112</v>
      </c>
      <c r="Z20">
        <f>IF(Q20="Standard",0,IF(Q20="Substandard",15,IF(Q20="Doubtful",25,IF(Q20="Special Mention Account (SMA)",10,0))))</f>
        <v>0</v>
      </c>
      <c r="AA20">
        <v>0</v>
      </c>
      <c r="AB20" t="s">
        <v>291</v>
      </c>
    </row>
    <row r="21" spans="1:28">
      <c r="A21" t="s">
        <v>44</v>
      </c>
      <c r="B21" t="s">
        <v>55</v>
      </c>
      <c r="C21" t="s">
        <v>80</v>
      </c>
      <c r="D21" s="3">
        <v>45380</v>
      </c>
      <c r="E21">
        <v>84</v>
      </c>
      <c r="F21" s="1">
        <v>408000</v>
      </c>
      <c r="G21">
        <v>8.75</v>
      </c>
      <c r="H21">
        <v>6512.7</v>
      </c>
      <c r="I21">
        <v>790</v>
      </c>
      <c r="J21">
        <v>0.62</v>
      </c>
      <c r="K21">
        <v>46.6</v>
      </c>
      <c r="L21">
        <v>53.4</v>
      </c>
      <c r="M21" t="s">
        <v>93</v>
      </c>
      <c r="N21" t="s">
        <v>100</v>
      </c>
      <c r="O21">
        <v>0</v>
      </c>
      <c r="P21" t="s">
        <v>104</v>
      </c>
      <c r="Q21" t="s">
        <v>107</v>
      </c>
      <c r="R21">
        <v>252.49</v>
      </c>
      <c r="S21">
        <v>5</v>
      </c>
      <c r="T21">
        <v>2</v>
      </c>
      <c r="U21">
        <v>1.72</v>
      </c>
      <c r="V21">
        <v>0.48</v>
      </c>
      <c r="W21">
        <v>100</v>
      </c>
      <c r="X21" t="s">
        <v>108</v>
      </c>
      <c r="Y21" t="s">
        <v>112</v>
      </c>
      <c r="Z21">
        <f>IF(Q21="Standard",0,IF(Q21="Substandard",15,IF(Q21="Doubtful",25,IF(Q21="Special Mention Account (SMA)",10,0))))</f>
        <v>0</v>
      </c>
      <c r="AA21">
        <v>25</v>
      </c>
      <c r="AB21" t="s">
        <v>291</v>
      </c>
    </row>
    <row r="22" spans="1:28">
      <c r="A22" t="s">
        <v>45</v>
      </c>
      <c r="B22" t="s">
        <v>56</v>
      </c>
      <c r="C22" t="s">
        <v>81</v>
      </c>
      <c r="D22" s="3">
        <v>45208</v>
      </c>
      <c r="E22">
        <v>24</v>
      </c>
      <c r="F22" s="1">
        <v>3143000</v>
      </c>
      <c r="G22">
        <v>12.63</v>
      </c>
      <c r="H22">
        <v>148878.31</v>
      </c>
      <c r="I22">
        <v>601</v>
      </c>
      <c r="J22">
        <v>2.08</v>
      </c>
      <c r="K22">
        <v>81</v>
      </c>
      <c r="L22">
        <v>19</v>
      </c>
      <c r="M22" t="s">
        <v>95</v>
      </c>
      <c r="N22" t="s">
        <v>98</v>
      </c>
      <c r="O22">
        <v>1</v>
      </c>
      <c r="P22" t="s">
        <v>102</v>
      </c>
      <c r="Q22" t="s">
        <v>106</v>
      </c>
      <c r="R22">
        <v>39956.45</v>
      </c>
      <c r="S22">
        <v>0</v>
      </c>
      <c r="T22">
        <v>0</v>
      </c>
      <c r="U22">
        <v>2.68</v>
      </c>
      <c r="V22">
        <v>0.08</v>
      </c>
      <c r="W22">
        <v>99.59999999999999</v>
      </c>
      <c r="X22" t="s">
        <v>108</v>
      </c>
      <c r="Y22" t="s">
        <v>114</v>
      </c>
      <c r="Z22">
        <f>IF(Q22="Standard",0,IF(Q22="Substandard",15,IF(Q22="Doubtful",25,IF(Q22="Special Mention Account (SMA)",10,0))))</f>
        <v>0</v>
      </c>
      <c r="AA22">
        <v>5</v>
      </c>
      <c r="AB22" t="s">
        <v>291</v>
      </c>
    </row>
    <row r="23" spans="1:28">
      <c r="A23" t="s">
        <v>46</v>
      </c>
      <c r="B23" t="s">
        <v>60</v>
      </c>
      <c r="C23" t="s">
        <v>82</v>
      </c>
      <c r="D23" s="3">
        <v>44582</v>
      </c>
      <c r="E23">
        <v>48</v>
      </c>
      <c r="F23" s="1">
        <v>10728000</v>
      </c>
      <c r="G23">
        <v>8.289999999999999</v>
      </c>
      <c r="H23">
        <v>263364.65</v>
      </c>
      <c r="I23">
        <v>645</v>
      </c>
      <c r="J23">
        <v>1.81</v>
      </c>
      <c r="K23">
        <v>55.7</v>
      </c>
      <c r="L23">
        <v>44.3</v>
      </c>
      <c r="M23" t="s">
        <v>91</v>
      </c>
      <c r="N23" t="s">
        <v>97</v>
      </c>
      <c r="O23">
        <v>15</v>
      </c>
      <c r="P23" t="s">
        <v>102</v>
      </c>
      <c r="Q23" t="s">
        <v>106</v>
      </c>
      <c r="R23">
        <v>46965.58</v>
      </c>
      <c r="S23">
        <v>5</v>
      </c>
      <c r="T23">
        <v>0</v>
      </c>
      <c r="U23">
        <v>5.41</v>
      </c>
      <c r="V23">
        <v>0.53</v>
      </c>
      <c r="W23">
        <v>97</v>
      </c>
      <c r="X23" t="s">
        <v>108</v>
      </c>
      <c r="Y23" t="s">
        <v>114</v>
      </c>
      <c r="Z23">
        <f>IF(Q23="Standard",0,IF(Q23="Substandard",15,IF(Q23="Doubtful",25,IF(Q23="Special Mention Account (SMA)",10,0))))</f>
        <v>0</v>
      </c>
      <c r="AA23">
        <v>5</v>
      </c>
      <c r="AB23" t="s">
        <v>291</v>
      </c>
    </row>
    <row r="24" spans="1:28">
      <c r="A24" t="s">
        <v>47</v>
      </c>
      <c r="B24" t="s">
        <v>55</v>
      </c>
      <c r="C24" t="s">
        <v>83</v>
      </c>
      <c r="D24" s="3">
        <v>45402</v>
      </c>
      <c r="E24">
        <v>84</v>
      </c>
      <c r="F24" s="1">
        <v>11895000</v>
      </c>
      <c r="G24">
        <v>11.72</v>
      </c>
      <c r="H24">
        <v>208202.28</v>
      </c>
      <c r="I24">
        <v>771</v>
      </c>
      <c r="J24">
        <v>1.24</v>
      </c>
      <c r="K24">
        <v>74.3</v>
      </c>
      <c r="L24">
        <v>25.7</v>
      </c>
      <c r="M24" t="s">
        <v>94</v>
      </c>
      <c r="N24" t="s">
        <v>96</v>
      </c>
      <c r="O24">
        <v>15</v>
      </c>
      <c r="P24" t="s">
        <v>102</v>
      </c>
      <c r="Q24" t="s">
        <v>106</v>
      </c>
      <c r="R24">
        <v>94739.37</v>
      </c>
      <c r="S24">
        <v>2</v>
      </c>
      <c r="T24">
        <v>0</v>
      </c>
      <c r="U24">
        <v>1.31</v>
      </c>
      <c r="V24">
        <v>0.44</v>
      </c>
      <c r="W24">
        <v>100</v>
      </c>
      <c r="X24" t="s">
        <v>111</v>
      </c>
      <c r="Y24" t="s">
        <v>114</v>
      </c>
      <c r="Z24">
        <f>IF(Q24="Standard",0,IF(Q24="Substandard",15,IF(Q24="Doubtful",25,IF(Q24="Special Mention Account (SMA)",10,0))))</f>
        <v>0</v>
      </c>
      <c r="AA24">
        <v>30</v>
      </c>
      <c r="AB24" t="s">
        <v>290</v>
      </c>
    </row>
    <row r="25" spans="1:28">
      <c r="A25" t="s">
        <v>48</v>
      </c>
      <c r="B25" t="s">
        <v>58</v>
      </c>
      <c r="C25" t="s">
        <v>84</v>
      </c>
      <c r="D25" s="3">
        <v>44728</v>
      </c>
      <c r="E25">
        <v>60</v>
      </c>
      <c r="F25" s="1">
        <v>9168000</v>
      </c>
      <c r="G25">
        <v>12.34</v>
      </c>
      <c r="H25">
        <v>205515.77</v>
      </c>
      <c r="I25">
        <v>780</v>
      </c>
      <c r="J25">
        <v>0.95</v>
      </c>
      <c r="K25">
        <v>74.3</v>
      </c>
      <c r="L25">
        <v>25.7</v>
      </c>
      <c r="M25" t="s">
        <v>94</v>
      </c>
      <c r="N25" t="s">
        <v>98</v>
      </c>
      <c r="O25">
        <v>0</v>
      </c>
      <c r="P25" t="s">
        <v>101</v>
      </c>
      <c r="Q25" t="s">
        <v>105</v>
      </c>
      <c r="R25">
        <v>7151.11</v>
      </c>
      <c r="S25">
        <v>5</v>
      </c>
      <c r="T25">
        <v>0</v>
      </c>
      <c r="U25">
        <v>3.32</v>
      </c>
      <c r="V25">
        <v>0.8</v>
      </c>
      <c r="W25">
        <v>100</v>
      </c>
      <c r="X25" t="s">
        <v>109</v>
      </c>
      <c r="Y25" t="s">
        <v>112</v>
      </c>
      <c r="Z25">
        <f>IF(Q25="Standard",0,IF(Q25="Substandard",15,IF(Q25="Doubtful",25,IF(Q25="Special Mention Account (SMA)",10,0))))</f>
        <v>0</v>
      </c>
      <c r="AA25">
        <v>40</v>
      </c>
      <c r="AB25" t="s">
        <v>290</v>
      </c>
    </row>
    <row r="26" spans="1:28">
      <c r="A26" t="s">
        <v>49</v>
      </c>
      <c r="B26" t="s">
        <v>59</v>
      </c>
      <c r="C26" t="s">
        <v>85</v>
      </c>
      <c r="D26" s="3">
        <v>44835</v>
      </c>
      <c r="E26">
        <v>24</v>
      </c>
      <c r="F26" s="1">
        <v>13909000</v>
      </c>
      <c r="G26">
        <v>10.29</v>
      </c>
      <c r="H26">
        <v>643693.08</v>
      </c>
      <c r="I26">
        <v>786</v>
      </c>
      <c r="J26">
        <v>1.58</v>
      </c>
      <c r="K26">
        <v>67.5</v>
      </c>
      <c r="L26">
        <v>32.5</v>
      </c>
      <c r="M26" t="s">
        <v>91</v>
      </c>
      <c r="N26" t="s">
        <v>99</v>
      </c>
      <c r="O26">
        <v>15</v>
      </c>
      <c r="P26" t="s">
        <v>103</v>
      </c>
      <c r="Q26" t="s">
        <v>105</v>
      </c>
      <c r="R26">
        <v>327738.76</v>
      </c>
      <c r="S26">
        <v>5</v>
      </c>
      <c r="T26">
        <v>0</v>
      </c>
      <c r="U26">
        <v>1.78</v>
      </c>
      <c r="V26">
        <v>0.98</v>
      </c>
      <c r="W26">
        <v>100</v>
      </c>
      <c r="X26" t="s">
        <v>109</v>
      </c>
      <c r="Y26" t="s">
        <v>114</v>
      </c>
      <c r="Z26">
        <f>IF(Q26="Standard",0,IF(Q26="Substandard",15,IF(Q26="Doubtful",25,IF(Q26="Special Mention Account (SMA)",10,0))))</f>
        <v>0</v>
      </c>
      <c r="AA26">
        <v>15</v>
      </c>
      <c r="AB26" t="s">
        <v>291</v>
      </c>
    </row>
    <row r="27" spans="1:28">
      <c r="A27" t="s">
        <v>50</v>
      </c>
      <c r="B27" t="s">
        <v>56</v>
      </c>
      <c r="C27" t="s">
        <v>86</v>
      </c>
      <c r="D27" s="3">
        <v>44949</v>
      </c>
      <c r="E27">
        <v>24</v>
      </c>
      <c r="F27" s="1">
        <v>9836000</v>
      </c>
      <c r="G27">
        <v>12.73</v>
      </c>
      <c r="H27">
        <v>466374.93</v>
      </c>
      <c r="I27">
        <v>692</v>
      </c>
      <c r="J27">
        <v>3.33</v>
      </c>
      <c r="K27">
        <v>36.3</v>
      </c>
      <c r="L27">
        <v>63.7</v>
      </c>
      <c r="M27" t="s">
        <v>93</v>
      </c>
      <c r="N27" t="s">
        <v>96</v>
      </c>
      <c r="O27">
        <v>0</v>
      </c>
      <c r="P27" t="s">
        <v>101</v>
      </c>
      <c r="Q27" t="s">
        <v>105</v>
      </c>
      <c r="R27">
        <v>40325.86</v>
      </c>
      <c r="S27">
        <v>2</v>
      </c>
      <c r="T27">
        <v>0</v>
      </c>
      <c r="U27">
        <v>3.7</v>
      </c>
      <c r="V27">
        <v>0.5600000000000001</v>
      </c>
      <c r="W27">
        <v>100</v>
      </c>
      <c r="X27" t="s">
        <v>108</v>
      </c>
      <c r="Y27" t="s">
        <v>112</v>
      </c>
      <c r="Z27">
        <f>IF(Q27="Standard",0,IF(Q27="Substandard",15,IF(Q27="Doubtful",25,IF(Q27="Special Mention Account (SMA)",10,0))))</f>
        <v>0</v>
      </c>
      <c r="AA27">
        <v>0</v>
      </c>
      <c r="AB27" t="s">
        <v>291</v>
      </c>
    </row>
    <row r="28" spans="1:28">
      <c r="A28" t="s">
        <v>51</v>
      </c>
      <c r="B28" t="s">
        <v>55</v>
      </c>
      <c r="C28" t="s">
        <v>87</v>
      </c>
      <c r="D28" s="3">
        <v>45162</v>
      </c>
      <c r="E28">
        <v>48</v>
      </c>
      <c r="F28" s="1">
        <v>13741000</v>
      </c>
      <c r="G28">
        <v>8.24</v>
      </c>
      <c r="H28">
        <v>337008.13</v>
      </c>
      <c r="I28">
        <v>720</v>
      </c>
      <c r="J28">
        <v>1.54</v>
      </c>
      <c r="K28">
        <v>88.5</v>
      </c>
      <c r="L28">
        <v>11.5</v>
      </c>
      <c r="M28" t="s">
        <v>94</v>
      </c>
      <c r="N28" t="s">
        <v>96</v>
      </c>
      <c r="O28">
        <v>0</v>
      </c>
      <c r="P28" t="s">
        <v>101</v>
      </c>
      <c r="Q28" t="s">
        <v>105</v>
      </c>
      <c r="R28">
        <v>14703.06</v>
      </c>
      <c r="S28">
        <v>5</v>
      </c>
      <c r="T28">
        <v>0</v>
      </c>
      <c r="U28">
        <v>5.25</v>
      </c>
      <c r="V28">
        <v>0.32</v>
      </c>
      <c r="W28">
        <v>100</v>
      </c>
      <c r="X28" t="s">
        <v>108</v>
      </c>
      <c r="Y28" t="s">
        <v>112</v>
      </c>
      <c r="Z28">
        <f>IF(Q28="Standard",0,IF(Q28="Substandard",15,IF(Q28="Doubtful",25,IF(Q28="Special Mention Account (SMA)",10,0))))</f>
        <v>0</v>
      </c>
      <c r="AA28">
        <v>5</v>
      </c>
      <c r="AB28" t="s">
        <v>291</v>
      </c>
    </row>
    <row r="29" spans="1:28">
      <c r="A29" t="s">
        <v>52</v>
      </c>
      <c r="B29" t="s">
        <v>60</v>
      </c>
      <c r="C29" t="s">
        <v>88</v>
      </c>
      <c r="D29" s="3">
        <v>44877</v>
      </c>
      <c r="E29">
        <v>24</v>
      </c>
      <c r="F29" s="1">
        <v>12781000</v>
      </c>
      <c r="G29">
        <v>8.300000000000001</v>
      </c>
      <c r="H29">
        <v>579800.34</v>
      </c>
      <c r="I29">
        <v>578</v>
      </c>
      <c r="J29">
        <v>2.1</v>
      </c>
      <c r="K29">
        <v>52.5</v>
      </c>
      <c r="L29">
        <v>47.5</v>
      </c>
      <c r="M29" t="s">
        <v>93</v>
      </c>
      <c r="N29" t="s">
        <v>99</v>
      </c>
      <c r="O29">
        <v>30</v>
      </c>
      <c r="P29" t="s">
        <v>102</v>
      </c>
      <c r="Q29" t="s">
        <v>106</v>
      </c>
      <c r="R29">
        <v>65261.23</v>
      </c>
      <c r="S29">
        <v>0</v>
      </c>
      <c r="T29">
        <v>0</v>
      </c>
      <c r="U29">
        <v>5.34</v>
      </c>
      <c r="V29">
        <v>0.04</v>
      </c>
      <c r="W29">
        <v>82.8</v>
      </c>
      <c r="X29" t="s">
        <v>108</v>
      </c>
      <c r="Y29" t="s">
        <v>114</v>
      </c>
      <c r="Z29">
        <f>IF(Q29="Standard",0,IF(Q29="Substandard",15,IF(Q29="Doubtful",25,IF(Q29="Special Mention Account (SMA)",10,0))))</f>
        <v>0</v>
      </c>
      <c r="AA29">
        <v>5</v>
      </c>
      <c r="AB29" t="s">
        <v>291</v>
      </c>
    </row>
    <row r="30" spans="1:28">
      <c r="A30" t="s">
        <v>53</v>
      </c>
      <c r="B30" t="s">
        <v>60</v>
      </c>
      <c r="C30" t="s">
        <v>89</v>
      </c>
      <c r="D30" s="3">
        <v>44575</v>
      </c>
      <c r="E30">
        <v>24</v>
      </c>
      <c r="F30" s="1">
        <v>6852000</v>
      </c>
      <c r="G30">
        <v>14.58</v>
      </c>
      <c r="H30">
        <v>330864.84</v>
      </c>
      <c r="I30">
        <v>585</v>
      </c>
      <c r="J30">
        <v>2.64</v>
      </c>
      <c r="K30">
        <v>43.1</v>
      </c>
      <c r="L30">
        <v>56.9</v>
      </c>
      <c r="M30" t="s">
        <v>94</v>
      </c>
      <c r="N30" t="s">
        <v>98</v>
      </c>
      <c r="O30">
        <v>7</v>
      </c>
      <c r="P30" t="s">
        <v>102</v>
      </c>
      <c r="Q30" t="s">
        <v>106</v>
      </c>
      <c r="R30">
        <v>190317.87</v>
      </c>
      <c r="S30">
        <v>0</v>
      </c>
      <c r="T30">
        <v>0</v>
      </c>
      <c r="U30">
        <v>1.8</v>
      </c>
      <c r="V30">
        <v>0.92</v>
      </c>
      <c r="W30">
        <v>95</v>
      </c>
      <c r="X30" t="s">
        <v>109</v>
      </c>
      <c r="Y30" t="s">
        <v>114</v>
      </c>
      <c r="Z30">
        <f>IF(Q30="Standard",0,IF(Q30="Substandard",15,IF(Q30="Doubtful",25,IF(Q30="Special Mention Account (SMA)",10,0))))</f>
        <v>0</v>
      </c>
      <c r="AA30">
        <v>15</v>
      </c>
      <c r="AB30" t="s">
        <v>291</v>
      </c>
    </row>
    <row r="31" spans="1:28">
      <c r="A31" t="s">
        <v>54</v>
      </c>
      <c r="B31" t="s">
        <v>57</v>
      </c>
      <c r="C31" t="s">
        <v>90</v>
      </c>
      <c r="D31" s="3">
        <v>44803</v>
      </c>
      <c r="E31">
        <v>84</v>
      </c>
      <c r="F31" s="1">
        <v>1612000</v>
      </c>
      <c r="G31">
        <v>10.88</v>
      </c>
      <c r="H31">
        <v>27499.76</v>
      </c>
      <c r="I31">
        <v>562</v>
      </c>
      <c r="J31">
        <v>1.65</v>
      </c>
      <c r="K31">
        <v>32.9</v>
      </c>
      <c r="L31">
        <v>67.09999999999999</v>
      </c>
      <c r="M31" t="s">
        <v>94</v>
      </c>
      <c r="N31" t="s">
        <v>99</v>
      </c>
      <c r="O31">
        <v>30</v>
      </c>
      <c r="P31" t="s">
        <v>104</v>
      </c>
      <c r="Q31" t="s">
        <v>107</v>
      </c>
      <c r="R31">
        <v>6691.22</v>
      </c>
      <c r="S31">
        <v>5</v>
      </c>
      <c r="T31">
        <v>0</v>
      </c>
      <c r="U31">
        <v>5.49</v>
      </c>
      <c r="V31">
        <v>0.92</v>
      </c>
      <c r="W31">
        <v>81.2</v>
      </c>
      <c r="X31" t="s">
        <v>109</v>
      </c>
      <c r="Y31" t="s">
        <v>114</v>
      </c>
      <c r="Z31">
        <f>IF(Q31="Standard",0,IF(Q31="Substandard",15,IF(Q31="Doubtful",25,IF(Q31="Special Mention Account (SMA)",10,0))))</f>
        <v>0</v>
      </c>
      <c r="AA31">
        <v>20</v>
      </c>
      <c r="AB31" t="s">
        <v>291</v>
      </c>
    </row>
    <row r="34" spans="1:1">
      <c r="A34" t="s">
        <v>319</v>
      </c>
    </row>
    <row r="35" spans="1:1">
      <c r="A35" t="s">
        <v>320</v>
      </c>
    </row>
  </sheetData>
  <autoFilter ref="A1:Y31"/>
  <conditionalFormatting sqref="AB2:AB31">
    <cfRule type="containsText" dxfId="0" priority="1" operator="containsText" text="High Risk">
      <formula>NOT(ISERROR(SEARCH("High Risk",AB2)))</formula>
    </cfRule>
    <cfRule type="containsText" dxfId="1" priority="2" operator="containsText" text="Medium Risk">
      <formula>NOT(ISERROR(SEARCH("Medium Risk",AB2)))</formula>
    </cfRule>
    <cfRule type="containsText" dxfId="2" priority="3" operator="containsText" text="Low Risk">
      <formula>NOT(ISERROR(SEARCH("Low Risk",AB2)))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>
      <pane ySplit="1" topLeftCell="A2" activePane="bottomLeft" state="frozen"/>
      <selection pane="bottomLeft"/>
    </sheetView>
  </sheetViews>
  <sheetFormatPr defaultRowHeight="15"/>
  <cols>
    <col min="10" max="15" width="14.7109375" style="1" customWidth="1"/>
  </cols>
  <sheetData>
    <row r="1" spans="1:21">
      <c r="A1" s="2" t="s">
        <v>2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  <c r="M1" s="2" t="s">
        <v>126</v>
      </c>
      <c r="N1" s="2" t="s">
        <v>127</v>
      </c>
      <c r="O1" s="2" t="s">
        <v>128</v>
      </c>
      <c r="P1" s="2" t="s">
        <v>129</v>
      </c>
      <c r="Q1" s="2" t="s">
        <v>130</v>
      </c>
      <c r="R1" s="2" t="s">
        <v>131</v>
      </c>
      <c r="S1" t="s">
        <v>128</v>
      </c>
      <c r="T1" t="s">
        <v>130</v>
      </c>
      <c r="U1" t="s">
        <v>131</v>
      </c>
    </row>
    <row r="2" spans="1:21">
      <c r="A2" t="s">
        <v>61</v>
      </c>
      <c r="B2" t="s">
        <v>132</v>
      </c>
      <c r="C2" t="s">
        <v>162</v>
      </c>
      <c r="D2" t="s">
        <v>192</v>
      </c>
      <c r="E2">
        <v>78904000</v>
      </c>
      <c r="F2">
        <v>43250000</v>
      </c>
      <c r="G2" t="s">
        <v>197</v>
      </c>
      <c r="H2" t="s">
        <v>227</v>
      </c>
      <c r="I2" t="s">
        <v>257</v>
      </c>
      <c r="J2" s="1">
        <v>49006000</v>
      </c>
      <c r="K2" s="1">
        <v>31996000</v>
      </c>
      <c r="L2" s="1">
        <v>6442000</v>
      </c>
      <c r="M2" s="1">
        <v>26903000</v>
      </c>
      <c r="N2" s="1">
        <v>104000</v>
      </c>
      <c r="O2" s="1">
        <v>1.53</v>
      </c>
      <c r="P2">
        <v>42564000</v>
      </c>
      <c r="Q2">
        <v>1.33</v>
      </c>
      <c r="R2">
        <v>258.68</v>
      </c>
      <c r="S2">
        <f>IFERROR(J2/K2,"")</f>
        <v>0</v>
      </c>
      <c r="T2">
        <f>IFERROR((J2-L2)/K2,"")</f>
        <v>0</v>
      </c>
      <c r="U2">
        <f>IFERROR(M2/N2,"")</f>
        <v>0</v>
      </c>
    </row>
    <row r="3" spans="1:21">
      <c r="A3" t="s">
        <v>62</v>
      </c>
      <c r="B3" t="s">
        <v>133</v>
      </c>
      <c r="C3" t="s">
        <v>163</v>
      </c>
      <c r="D3" t="s">
        <v>193</v>
      </c>
      <c r="E3">
        <v>56004000</v>
      </c>
      <c r="F3">
        <v>40664000</v>
      </c>
      <c r="G3" t="s">
        <v>198</v>
      </c>
      <c r="H3" t="s">
        <v>228</v>
      </c>
      <c r="I3" t="s">
        <v>258</v>
      </c>
      <c r="J3" s="1">
        <v>24732000</v>
      </c>
      <c r="K3" s="1">
        <v>25153000</v>
      </c>
      <c r="L3" s="1">
        <v>4229000</v>
      </c>
      <c r="M3" s="1">
        <v>2407000</v>
      </c>
      <c r="N3" s="1">
        <v>673000</v>
      </c>
      <c r="O3" s="1">
        <v>0.98</v>
      </c>
      <c r="P3">
        <v>20503000</v>
      </c>
      <c r="Q3">
        <v>0.82</v>
      </c>
      <c r="R3">
        <v>3.58</v>
      </c>
      <c r="S3">
        <f>IFERROR(J3/K3,"")</f>
        <v>0</v>
      </c>
      <c r="T3">
        <f>IFERROR((J3-L3)/K3,"")</f>
        <v>0</v>
      </c>
      <c r="U3">
        <f>IFERROR(M3/N3,"")</f>
        <v>0</v>
      </c>
    </row>
    <row r="4" spans="1:21">
      <c r="A4" t="s">
        <v>63</v>
      </c>
      <c r="B4" t="s">
        <v>134</v>
      </c>
      <c r="C4" t="s">
        <v>164</v>
      </c>
      <c r="D4" t="s">
        <v>193</v>
      </c>
      <c r="E4">
        <v>43120000</v>
      </c>
      <c r="F4">
        <v>49986000</v>
      </c>
      <c r="G4" t="s">
        <v>199</v>
      </c>
      <c r="H4" t="s">
        <v>229</v>
      </c>
      <c r="I4" t="s">
        <v>259</v>
      </c>
      <c r="J4" s="1">
        <v>16572000</v>
      </c>
      <c r="K4" s="1">
        <v>3362000</v>
      </c>
      <c r="L4" s="1">
        <v>6550000</v>
      </c>
      <c r="M4" s="1">
        <v>15735000</v>
      </c>
      <c r="N4" s="1">
        <v>269000</v>
      </c>
      <c r="O4" s="1">
        <v>4.93</v>
      </c>
      <c r="P4">
        <v>10022000</v>
      </c>
      <c r="Q4">
        <v>2.98</v>
      </c>
      <c r="R4">
        <v>58.49</v>
      </c>
      <c r="S4">
        <f>IFERROR(J4/K4,"")</f>
        <v>0</v>
      </c>
      <c r="T4">
        <f>IFERROR((J4-L4)/K4,"")</f>
        <v>0</v>
      </c>
      <c r="U4">
        <f>IFERROR(M4/N4,"")</f>
        <v>0</v>
      </c>
    </row>
    <row r="5" spans="1:21">
      <c r="A5" t="s">
        <v>64</v>
      </c>
      <c r="B5" t="s">
        <v>135</v>
      </c>
      <c r="C5" t="s">
        <v>165</v>
      </c>
      <c r="D5" t="s">
        <v>192</v>
      </c>
      <c r="E5">
        <v>25107000</v>
      </c>
      <c r="F5">
        <v>49832000</v>
      </c>
      <c r="G5" t="s">
        <v>200</v>
      </c>
      <c r="H5" t="s">
        <v>230</v>
      </c>
      <c r="I5" t="s">
        <v>260</v>
      </c>
      <c r="J5" s="1">
        <v>31743000</v>
      </c>
      <c r="K5" s="1">
        <v>34956000</v>
      </c>
      <c r="L5" s="1">
        <v>2395000</v>
      </c>
      <c r="M5" s="1">
        <v>12312000</v>
      </c>
      <c r="N5" s="1">
        <v>127000</v>
      </c>
      <c r="O5" s="1">
        <v>0.91</v>
      </c>
      <c r="P5">
        <v>29348000</v>
      </c>
      <c r="Q5">
        <v>0.84</v>
      </c>
      <c r="R5">
        <v>96.94</v>
      </c>
      <c r="S5">
        <f>IFERROR(J5/K5,"")</f>
        <v>0</v>
      </c>
      <c r="T5">
        <f>IFERROR((J5-L5)/K5,"")</f>
        <v>0</v>
      </c>
      <c r="U5">
        <f>IFERROR(M5/N5,"")</f>
        <v>0</v>
      </c>
    </row>
    <row r="6" spans="1:21">
      <c r="A6" t="s">
        <v>65</v>
      </c>
      <c r="B6" t="s">
        <v>136</v>
      </c>
      <c r="C6" t="s">
        <v>166</v>
      </c>
      <c r="D6" t="s">
        <v>194</v>
      </c>
      <c r="E6">
        <v>65197000</v>
      </c>
      <c r="F6">
        <v>27816000</v>
      </c>
      <c r="G6" t="s">
        <v>201</v>
      </c>
      <c r="H6" t="s">
        <v>231</v>
      </c>
      <c r="I6" t="s">
        <v>261</v>
      </c>
      <c r="J6" s="1">
        <v>12159000</v>
      </c>
      <c r="K6" s="1">
        <v>36843000</v>
      </c>
      <c r="L6" s="1">
        <v>17811000</v>
      </c>
      <c r="M6" s="1">
        <v>29471000</v>
      </c>
      <c r="N6" s="1">
        <v>1980000</v>
      </c>
      <c r="O6" s="1">
        <v>0.33</v>
      </c>
      <c r="P6">
        <v>-5652000</v>
      </c>
      <c r="Q6">
        <v>-0.15</v>
      </c>
      <c r="R6">
        <v>14.88</v>
      </c>
      <c r="S6">
        <f>IFERROR(J6/K6,"")</f>
        <v>0</v>
      </c>
      <c r="T6">
        <f>IFERROR((J6-L6)/K6,"")</f>
        <v>0</v>
      </c>
      <c r="U6">
        <f>IFERROR(M6/N6,"")</f>
        <v>0</v>
      </c>
    </row>
    <row r="7" spans="1:21">
      <c r="A7" t="s">
        <v>66</v>
      </c>
      <c r="B7" t="s">
        <v>137</v>
      </c>
      <c r="C7" t="s">
        <v>167</v>
      </c>
      <c r="D7" t="s">
        <v>195</v>
      </c>
      <c r="E7">
        <v>54936000</v>
      </c>
      <c r="F7">
        <v>38472000</v>
      </c>
      <c r="G7" t="s">
        <v>202</v>
      </c>
      <c r="H7" t="s">
        <v>232</v>
      </c>
      <c r="I7" t="s">
        <v>262</v>
      </c>
      <c r="J7" s="1">
        <v>3978000</v>
      </c>
      <c r="K7" s="1">
        <v>2537000</v>
      </c>
      <c r="L7" s="1">
        <v>11872000</v>
      </c>
      <c r="M7" s="1">
        <v>3361000</v>
      </c>
      <c r="N7" s="1">
        <v>645000</v>
      </c>
      <c r="O7" s="1">
        <v>1.57</v>
      </c>
      <c r="P7">
        <v>-7894000</v>
      </c>
      <c r="Q7">
        <v>-3.11</v>
      </c>
      <c r="R7">
        <v>5.21</v>
      </c>
      <c r="S7">
        <f>IFERROR(J7/K7,"")</f>
        <v>0</v>
      </c>
      <c r="T7">
        <f>IFERROR((J7-L7)/K7,"")</f>
        <v>0</v>
      </c>
      <c r="U7">
        <f>IFERROR(M7/N7,"")</f>
        <v>0</v>
      </c>
    </row>
    <row r="8" spans="1:21">
      <c r="A8" t="s">
        <v>67</v>
      </c>
      <c r="B8" t="s">
        <v>138</v>
      </c>
      <c r="C8" t="s">
        <v>168</v>
      </c>
      <c r="D8" t="s">
        <v>194</v>
      </c>
      <c r="E8">
        <v>13428000</v>
      </c>
      <c r="F8">
        <v>47244000</v>
      </c>
      <c r="G8" t="s">
        <v>203</v>
      </c>
      <c r="H8" t="s">
        <v>233</v>
      </c>
      <c r="I8" t="s">
        <v>263</v>
      </c>
      <c r="J8" s="1">
        <v>6618000</v>
      </c>
      <c r="K8" s="1">
        <v>11147000</v>
      </c>
      <c r="L8" s="1">
        <v>13582000</v>
      </c>
      <c r="M8" s="1">
        <v>11936000</v>
      </c>
      <c r="N8" s="1">
        <v>1620000</v>
      </c>
      <c r="O8" s="1">
        <v>0.59</v>
      </c>
      <c r="P8">
        <v>-6964000</v>
      </c>
      <c r="Q8">
        <v>-0.62</v>
      </c>
      <c r="R8">
        <v>7.37</v>
      </c>
      <c r="S8">
        <f>IFERROR(J8/K8,"")</f>
        <v>0</v>
      </c>
      <c r="T8">
        <f>IFERROR((J8-L8)/K8,"")</f>
        <v>0</v>
      </c>
      <c r="U8">
        <f>IFERROR(M8/N8,"")</f>
        <v>0</v>
      </c>
    </row>
    <row r="9" spans="1:21">
      <c r="A9" t="s">
        <v>68</v>
      </c>
      <c r="B9" t="s">
        <v>139</v>
      </c>
      <c r="C9" t="s">
        <v>169</v>
      </c>
      <c r="D9" t="s">
        <v>194</v>
      </c>
      <c r="E9">
        <v>72919000</v>
      </c>
      <c r="F9">
        <v>42497000</v>
      </c>
      <c r="G9" t="s">
        <v>204</v>
      </c>
      <c r="H9" t="s">
        <v>234</v>
      </c>
      <c r="I9" t="s">
        <v>264</v>
      </c>
      <c r="J9" s="1">
        <v>6577000</v>
      </c>
      <c r="K9" s="1">
        <v>32267000</v>
      </c>
      <c r="L9" s="1">
        <v>15783000</v>
      </c>
      <c r="M9" s="1">
        <v>29084000</v>
      </c>
      <c r="N9" s="1">
        <v>509000</v>
      </c>
      <c r="O9" s="1">
        <v>0.2</v>
      </c>
      <c r="P9">
        <v>-9206000</v>
      </c>
      <c r="Q9">
        <v>-0.29</v>
      </c>
      <c r="R9">
        <v>57.14</v>
      </c>
      <c r="S9">
        <f>IFERROR(J9/K9,"")</f>
        <v>0</v>
      </c>
      <c r="T9">
        <f>IFERROR((J9-L9)/K9,"")</f>
        <v>0</v>
      </c>
      <c r="U9">
        <f>IFERROR(M9/N9,"")</f>
        <v>0</v>
      </c>
    </row>
    <row r="10" spans="1:21">
      <c r="A10" t="s">
        <v>69</v>
      </c>
      <c r="B10" t="s">
        <v>140</v>
      </c>
      <c r="C10" t="s">
        <v>170</v>
      </c>
      <c r="D10" t="s">
        <v>194</v>
      </c>
      <c r="E10">
        <v>65892000</v>
      </c>
      <c r="F10">
        <v>12443000</v>
      </c>
      <c r="G10" t="s">
        <v>205</v>
      </c>
      <c r="H10" t="s">
        <v>235</v>
      </c>
      <c r="I10" t="s">
        <v>265</v>
      </c>
      <c r="J10" s="1">
        <v>7765000</v>
      </c>
      <c r="K10" s="1">
        <v>29956000</v>
      </c>
      <c r="L10" s="1">
        <v>9969000</v>
      </c>
      <c r="M10" s="1">
        <v>25965000</v>
      </c>
      <c r="N10" s="1">
        <v>1363000</v>
      </c>
      <c r="O10" s="1">
        <v>0.26</v>
      </c>
      <c r="P10">
        <v>-2204000</v>
      </c>
      <c r="Q10">
        <v>-0.07000000000000001</v>
      </c>
      <c r="R10">
        <v>19.05</v>
      </c>
      <c r="S10">
        <f>IFERROR(J10/K10,"")</f>
        <v>0</v>
      </c>
      <c r="T10">
        <f>IFERROR((J10-L10)/K10,"")</f>
        <v>0</v>
      </c>
      <c r="U10">
        <f>IFERROR(M10/N10,"")</f>
        <v>0</v>
      </c>
    </row>
    <row r="11" spans="1:21">
      <c r="A11" t="s">
        <v>70</v>
      </c>
      <c r="B11" t="s">
        <v>141</v>
      </c>
      <c r="C11" t="s">
        <v>171</v>
      </c>
      <c r="D11" t="s">
        <v>196</v>
      </c>
      <c r="E11">
        <v>76009000</v>
      </c>
      <c r="F11">
        <v>22582000</v>
      </c>
      <c r="G11" t="s">
        <v>206</v>
      </c>
      <c r="H11" t="s">
        <v>236</v>
      </c>
      <c r="I11" t="s">
        <v>266</v>
      </c>
      <c r="J11" s="1">
        <v>7114000</v>
      </c>
      <c r="K11" s="1">
        <v>7462000</v>
      </c>
      <c r="L11" s="1">
        <v>1738000</v>
      </c>
      <c r="M11" s="1">
        <v>24512000</v>
      </c>
      <c r="N11" s="1">
        <v>1520000</v>
      </c>
      <c r="O11" s="1">
        <v>0.95</v>
      </c>
      <c r="P11">
        <v>5376000</v>
      </c>
      <c r="Q11">
        <v>0.72</v>
      </c>
      <c r="R11">
        <v>16.13</v>
      </c>
      <c r="S11">
        <f>IFERROR(J11/K11,"")</f>
        <v>0</v>
      </c>
      <c r="T11">
        <f>IFERROR((J11-L11)/K11,"")</f>
        <v>0</v>
      </c>
      <c r="U11">
        <f>IFERROR(M11/N11,"")</f>
        <v>0</v>
      </c>
    </row>
    <row r="12" spans="1:21">
      <c r="A12" t="s">
        <v>71</v>
      </c>
      <c r="B12" t="s">
        <v>142</v>
      </c>
      <c r="C12" t="s">
        <v>172</v>
      </c>
      <c r="D12" t="s">
        <v>193</v>
      </c>
      <c r="E12">
        <v>58195000</v>
      </c>
      <c r="F12">
        <v>6545000</v>
      </c>
      <c r="G12" t="s">
        <v>207</v>
      </c>
      <c r="H12" t="s">
        <v>237</v>
      </c>
      <c r="I12" t="s">
        <v>267</v>
      </c>
      <c r="J12" s="1">
        <v>32116000</v>
      </c>
      <c r="K12" s="1">
        <v>8453000</v>
      </c>
      <c r="L12" s="1">
        <v>10742000</v>
      </c>
      <c r="M12" s="1">
        <v>7737000</v>
      </c>
      <c r="N12" s="1">
        <v>1191000</v>
      </c>
      <c r="O12" s="1">
        <v>3.8</v>
      </c>
      <c r="P12">
        <v>21374000</v>
      </c>
      <c r="Q12">
        <v>2.53</v>
      </c>
      <c r="R12">
        <v>6.5</v>
      </c>
      <c r="S12">
        <f>IFERROR(J12/K12,"")</f>
        <v>0</v>
      </c>
      <c r="T12">
        <f>IFERROR((J12-L12)/K12,"")</f>
        <v>0</v>
      </c>
      <c r="U12">
        <f>IFERROR(M12/N12,"")</f>
        <v>0</v>
      </c>
    </row>
    <row r="13" spans="1:21">
      <c r="A13" t="s">
        <v>72</v>
      </c>
      <c r="B13" t="s">
        <v>143</v>
      </c>
      <c r="C13" t="s">
        <v>173</v>
      </c>
      <c r="D13" t="s">
        <v>194</v>
      </c>
      <c r="E13">
        <v>49267000</v>
      </c>
      <c r="F13">
        <v>47707000</v>
      </c>
      <c r="G13" t="s">
        <v>208</v>
      </c>
      <c r="H13" t="s">
        <v>238</v>
      </c>
      <c r="I13" t="s">
        <v>268</v>
      </c>
      <c r="J13" s="1">
        <v>9258000</v>
      </c>
      <c r="K13" s="1">
        <v>14882000</v>
      </c>
      <c r="L13" s="1">
        <v>11737000</v>
      </c>
      <c r="M13" s="1">
        <v>5127000</v>
      </c>
      <c r="N13" s="1">
        <v>943000</v>
      </c>
      <c r="O13" s="1">
        <v>0.62</v>
      </c>
      <c r="P13">
        <v>-2479000</v>
      </c>
      <c r="Q13">
        <v>-0.17</v>
      </c>
      <c r="R13">
        <v>5.44</v>
      </c>
      <c r="S13">
        <f>IFERROR(J13/K13,"")</f>
        <v>0</v>
      </c>
      <c r="T13">
        <f>IFERROR((J13-L13)/K13,"")</f>
        <v>0</v>
      </c>
      <c r="U13">
        <f>IFERROR(M13/N13,"")</f>
        <v>0</v>
      </c>
    </row>
    <row r="14" spans="1:21">
      <c r="A14" t="s">
        <v>73</v>
      </c>
      <c r="B14" t="s">
        <v>144</v>
      </c>
      <c r="C14" t="s">
        <v>174</v>
      </c>
      <c r="D14" t="s">
        <v>193</v>
      </c>
      <c r="E14">
        <v>33750000</v>
      </c>
      <c r="F14">
        <v>30348000</v>
      </c>
      <c r="G14" t="s">
        <v>209</v>
      </c>
      <c r="H14" t="s">
        <v>239</v>
      </c>
      <c r="I14" t="s">
        <v>269</v>
      </c>
      <c r="J14" s="1">
        <v>17414000</v>
      </c>
      <c r="K14" s="1">
        <v>19432000</v>
      </c>
      <c r="L14" s="1">
        <v>14909000</v>
      </c>
      <c r="M14" s="1">
        <v>20059000</v>
      </c>
      <c r="N14" s="1">
        <v>824000</v>
      </c>
      <c r="O14" s="1">
        <v>0.9</v>
      </c>
      <c r="P14">
        <v>2505000</v>
      </c>
      <c r="Q14">
        <v>0.13</v>
      </c>
      <c r="R14">
        <v>24.34</v>
      </c>
      <c r="S14">
        <f>IFERROR(J14/K14,"")</f>
        <v>0</v>
      </c>
      <c r="T14">
        <f>IFERROR((J14-L14)/K14,"")</f>
        <v>0</v>
      </c>
      <c r="U14">
        <f>IFERROR(M14/N14,"")</f>
        <v>0</v>
      </c>
    </row>
    <row r="15" spans="1:21">
      <c r="A15" t="s">
        <v>74</v>
      </c>
      <c r="B15" t="s">
        <v>145</v>
      </c>
      <c r="C15" t="s">
        <v>175</v>
      </c>
      <c r="D15" t="s">
        <v>192</v>
      </c>
      <c r="E15">
        <v>74652000</v>
      </c>
      <c r="F15">
        <v>11509000</v>
      </c>
      <c r="G15" t="s">
        <v>210</v>
      </c>
      <c r="H15" t="s">
        <v>240</v>
      </c>
      <c r="I15" t="s">
        <v>270</v>
      </c>
      <c r="J15" s="1">
        <v>44860000</v>
      </c>
      <c r="K15" s="1">
        <v>24768000</v>
      </c>
      <c r="L15" s="1">
        <v>8633000</v>
      </c>
      <c r="M15" s="1">
        <v>27881000</v>
      </c>
      <c r="N15" s="1">
        <v>698000</v>
      </c>
      <c r="O15" s="1">
        <v>1.81</v>
      </c>
      <c r="P15">
        <v>36227000</v>
      </c>
      <c r="Q15">
        <v>1.46</v>
      </c>
      <c r="R15">
        <v>39.94</v>
      </c>
      <c r="S15">
        <f>IFERROR(J15/K15,"")</f>
        <v>0</v>
      </c>
      <c r="T15">
        <f>IFERROR((J15-L15)/K15,"")</f>
        <v>0</v>
      </c>
      <c r="U15">
        <f>IFERROR(M15/N15,"")</f>
        <v>0</v>
      </c>
    </row>
    <row r="16" spans="1:21">
      <c r="A16" t="s">
        <v>75</v>
      </c>
      <c r="B16" t="s">
        <v>146</v>
      </c>
      <c r="C16" t="s">
        <v>176</v>
      </c>
      <c r="D16" t="s">
        <v>195</v>
      </c>
      <c r="E16">
        <v>69352000</v>
      </c>
      <c r="F16">
        <v>33618000</v>
      </c>
      <c r="G16" t="s">
        <v>211</v>
      </c>
      <c r="H16" t="s">
        <v>241</v>
      </c>
      <c r="I16" t="s">
        <v>271</v>
      </c>
      <c r="J16" s="1">
        <v>23803000</v>
      </c>
      <c r="K16" s="1">
        <v>14820000</v>
      </c>
      <c r="L16" s="1">
        <v>2552000</v>
      </c>
      <c r="M16" s="1">
        <v>16703000</v>
      </c>
      <c r="N16" s="1">
        <v>1859000</v>
      </c>
      <c r="O16" s="1">
        <v>1.61</v>
      </c>
      <c r="P16">
        <v>21251000</v>
      </c>
      <c r="Q16">
        <v>1.43</v>
      </c>
      <c r="R16">
        <v>8.98</v>
      </c>
      <c r="S16">
        <f>IFERROR(J16/K16,"")</f>
        <v>0</v>
      </c>
      <c r="T16">
        <f>IFERROR((J16-L16)/K16,"")</f>
        <v>0</v>
      </c>
      <c r="U16">
        <f>IFERROR(M16/N16,"")</f>
        <v>0</v>
      </c>
    </row>
    <row r="17" spans="1:21">
      <c r="A17" t="s">
        <v>76</v>
      </c>
      <c r="B17" t="s">
        <v>147</v>
      </c>
      <c r="C17" t="s">
        <v>177</v>
      </c>
      <c r="D17" t="s">
        <v>192</v>
      </c>
      <c r="E17">
        <v>4095000</v>
      </c>
      <c r="F17">
        <v>30945000</v>
      </c>
      <c r="G17" t="s">
        <v>212</v>
      </c>
      <c r="H17" t="s">
        <v>242</v>
      </c>
      <c r="I17" t="s">
        <v>272</v>
      </c>
      <c r="J17" s="1">
        <v>33444000</v>
      </c>
      <c r="K17" s="1">
        <v>18555000</v>
      </c>
      <c r="L17" s="1">
        <v>5676000</v>
      </c>
      <c r="M17" s="1">
        <v>17148000</v>
      </c>
      <c r="N17" s="1">
        <v>1661000</v>
      </c>
      <c r="O17" s="1">
        <v>1.8</v>
      </c>
      <c r="P17">
        <v>27768000</v>
      </c>
      <c r="Q17">
        <v>1.5</v>
      </c>
      <c r="R17">
        <v>10.32</v>
      </c>
      <c r="S17">
        <f>IFERROR(J17/K17,"")</f>
        <v>0</v>
      </c>
      <c r="T17">
        <f>IFERROR((J17-L17)/K17,"")</f>
        <v>0</v>
      </c>
      <c r="U17">
        <f>IFERROR(M17/N17,"")</f>
        <v>0</v>
      </c>
    </row>
    <row r="18" spans="1:21">
      <c r="A18" t="s">
        <v>77</v>
      </c>
      <c r="B18" t="s">
        <v>148</v>
      </c>
      <c r="C18" t="s">
        <v>178</v>
      </c>
      <c r="D18" t="s">
        <v>192</v>
      </c>
      <c r="E18">
        <v>2596000</v>
      </c>
      <c r="F18">
        <v>17972000</v>
      </c>
      <c r="G18" t="s">
        <v>213</v>
      </c>
      <c r="H18" t="s">
        <v>243</v>
      </c>
      <c r="I18" t="s">
        <v>273</v>
      </c>
      <c r="J18" s="1">
        <v>8782000</v>
      </c>
      <c r="K18" s="1">
        <v>29924000</v>
      </c>
      <c r="L18" s="1">
        <v>7262000</v>
      </c>
      <c r="M18" s="1">
        <v>8399000</v>
      </c>
      <c r="N18" s="1">
        <v>1930000</v>
      </c>
      <c r="O18" s="1">
        <v>0.29</v>
      </c>
      <c r="P18">
        <v>1520000</v>
      </c>
      <c r="Q18">
        <v>0.05</v>
      </c>
      <c r="R18">
        <v>4.35</v>
      </c>
      <c r="S18">
        <f>IFERROR(J18/K18,"")</f>
        <v>0</v>
      </c>
      <c r="T18">
        <f>IFERROR((J18-L18)/K18,"")</f>
        <v>0</v>
      </c>
      <c r="U18">
        <f>IFERROR(M18/N18,"")</f>
        <v>0</v>
      </c>
    </row>
    <row r="19" spans="1:21">
      <c r="A19" t="s">
        <v>78</v>
      </c>
      <c r="B19" t="s">
        <v>149</v>
      </c>
      <c r="C19" t="s">
        <v>179</v>
      </c>
      <c r="D19" t="s">
        <v>196</v>
      </c>
      <c r="E19">
        <v>30429000</v>
      </c>
      <c r="F19">
        <v>5767000</v>
      </c>
      <c r="G19" t="s">
        <v>214</v>
      </c>
      <c r="H19" t="s">
        <v>244</v>
      </c>
      <c r="I19" t="s">
        <v>274</v>
      </c>
      <c r="J19" s="1">
        <v>9776000</v>
      </c>
      <c r="K19" s="1">
        <v>1564000</v>
      </c>
      <c r="L19" s="1">
        <v>12918000</v>
      </c>
      <c r="M19" s="1">
        <v>23085000</v>
      </c>
      <c r="N19" s="1">
        <v>249000</v>
      </c>
      <c r="O19" s="1">
        <v>6.25</v>
      </c>
      <c r="P19">
        <v>-3142000</v>
      </c>
      <c r="Q19">
        <v>-2.01</v>
      </c>
      <c r="R19">
        <v>92.70999999999999</v>
      </c>
      <c r="S19">
        <f>IFERROR(J19/K19,"")</f>
        <v>0</v>
      </c>
      <c r="T19">
        <f>IFERROR((J19-L19)/K19,"")</f>
        <v>0</v>
      </c>
      <c r="U19">
        <f>IFERROR(M19/N19,"")</f>
        <v>0</v>
      </c>
    </row>
    <row r="20" spans="1:21">
      <c r="A20" t="s">
        <v>79</v>
      </c>
      <c r="B20" t="s">
        <v>150</v>
      </c>
      <c r="C20" t="s">
        <v>180</v>
      </c>
      <c r="D20" t="s">
        <v>195</v>
      </c>
      <c r="E20">
        <v>64939000</v>
      </c>
      <c r="F20">
        <v>33612000</v>
      </c>
      <c r="G20" t="s">
        <v>215</v>
      </c>
      <c r="H20" t="s">
        <v>245</v>
      </c>
      <c r="I20" t="s">
        <v>275</v>
      </c>
      <c r="J20" s="1">
        <v>2235000</v>
      </c>
      <c r="K20" s="1">
        <v>10172000</v>
      </c>
      <c r="L20" s="1">
        <v>11416000</v>
      </c>
      <c r="M20" s="1">
        <v>5611000</v>
      </c>
      <c r="N20" s="1">
        <v>1462000</v>
      </c>
      <c r="O20" s="1">
        <v>0.22</v>
      </c>
      <c r="P20">
        <v>-9181000</v>
      </c>
      <c r="Q20">
        <v>-0.9</v>
      </c>
      <c r="R20">
        <v>3.84</v>
      </c>
      <c r="S20">
        <f>IFERROR(J20/K20,"")</f>
        <v>0</v>
      </c>
      <c r="T20">
        <f>IFERROR((J20-L20)/K20,"")</f>
        <v>0</v>
      </c>
      <c r="U20">
        <f>IFERROR(M20/N20,"")</f>
        <v>0</v>
      </c>
    </row>
    <row r="21" spans="1:21">
      <c r="A21" t="s">
        <v>80</v>
      </c>
      <c r="B21" t="s">
        <v>151</v>
      </c>
      <c r="C21" t="s">
        <v>181</v>
      </c>
      <c r="D21" t="s">
        <v>192</v>
      </c>
      <c r="E21">
        <v>78988000</v>
      </c>
      <c r="F21">
        <v>26063000</v>
      </c>
      <c r="G21" t="s">
        <v>216</v>
      </c>
      <c r="H21" t="s">
        <v>246</v>
      </c>
      <c r="I21" t="s">
        <v>276</v>
      </c>
      <c r="J21" s="1">
        <v>8613000</v>
      </c>
      <c r="K21" s="1">
        <v>28563000</v>
      </c>
      <c r="L21" s="1">
        <v>7122000</v>
      </c>
      <c r="M21" s="1">
        <v>9710000</v>
      </c>
      <c r="N21" s="1">
        <v>1877000</v>
      </c>
      <c r="O21" s="1">
        <v>0.3</v>
      </c>
      <c r="P21">
        <v>1491000</v>
      </c>
      <c r="Q21">
        <v>0.05</v>
      </c>
      <c r="R21">
        <v>5.17</v>
      </c>
      <c r="S21">
        <f>IFERROR(J21/K21,"")</f>
        <v>0</v>
      </c>
      <c r="T21">
        <f>IFERROR((J21-L21)/K21,"")</f>
        <v>0</v>
      </c>
      <c r="U21">
        <f>IFERROR(M21/N21,"")</f>
        <v>0</v>
      </c>
    </row>
    <row r="22" spans="1:21">
      <c r="A22" t="s">
        <v>81</v>
      </c>
      <c r="B22" t="s">
        <v>152</v>
      </c>
      <c r="C22" t="s">
        <v>182</v>
      </c>
      <c r="D22" t="s">
        <v>192</v>
      </c>
      <c r="E22">
        <v>12458000</v>
      </c>
      <c r="F22">
        <v>38639000</v>
      </c>
      <c r="G22" t="s">
        <v>217</v>
      </c>
      <c r="H22" t="s">
        <v>247</v>
      </c>
      <c r="I22" t="s">
        <v>277</v>
      </c>
      <c r="J22" s="1">
        <v>14074000</v>
      </c>
      <c r="K22" s="1">
        <v>35819000</v>
      </c>
      <c r="L22" s="1">
        <v>19730000</v>
      </c>
      <c r="M22" s="1">
        <v>12763000</v>
      </c>
      <c r="N22" s="1">
        <v>362000</v>
      </c>
      <c r="O22" s="1">
        <v>0.39</v>
      </c>
      <c r="P22">
        <v>-5656000</v>
      </c>
      <c r="Q22">
        <v>-0.16</v>
      </c>
      <c r="R22">
        <v>35.26</v>
      </c>
      <c r="S22">
        <f>IFERROR(J22/K22,"")</f>
        <v>0</v>
      </c>
      <c r="T22">
        <f>IFERROR((J22-L22)/K22,"")</f>
        <v>0</v>
      </c>
      <c r="U22">
        <f>IFERROR(M22/N22,"")</f>
        <v>0</v>
      </c>
    </row>
    <row r="23" spans="1:21">
      <c r="A23" t="s">
        <v>82</v>
      </c>
      <c r="B23" t="s">
        <v>153</v>
      </c>
      <c r="C23" t="s">
        <v>183</v>
      </c>
      <c r="D23" t="s">
        <v>195</v>
      </c>
      <c r="E23">
        <v>47733000</v>
      </c>
      <c r="F23">
        <v>26056000</v>
      </c>
      <c r="G23" t="s">
        <v>218</v>
      </c>
      <c r="H23" t="s">
        <v>248</v>
      </c>
      <c r="I23" t="s">
        <v>278</v>
      </c>
      <c r="J23" s="1">
        <v>9015000</v>
      </c>
      <c r="K23" s="1">
        <v>20516000</v>
      </c>
      <c r="L23" s="1">
        <v>12115000</v>
      </c>
      <c r="M23" s="1">
        <v>15228000</v>
      </c>
      <c r="N23" s="1">
        <v>133000</v>
      </c>
      <c r="O23" s="1">
        <v>0.44</v>
      </c>
      <c r="P23">
        <v>-3100000</v>
      </c>
      <c r="Q23">
        <v>-0.15</v>
      </c>
      <c r="R23">
        <v>114.5</v>
      </c>
      <c r="S23">
        <f>IFERROR(J23/K23,"")</f>
        <v>0</v>
      </c>
      <c r="T23">
        <f>IFERROR((J23-L23)/K23,"")</f>
        <v>0</v>
      </c>
      <c r="U23">
        <f>IFERROR(M23/N23,"")</f>
        <v>0</v>
      </c>
    </row>
    <row r="24" spans="1:21">
      <c r="A24" t="s">
        <v>83</v>
      </c>
      <c r="B24" t="s">
        <v>154</v>
      </c>
      <c r="C24" t="s">
        <v>184</v>
      </c>
      <c r="D24" t="s">
        <v>195</v>
      </c>
      <c r="E24">
        <v>30781000</v>
      </c>
      <c r="F24">
        <v>42624000</v>
      </c>
      <c r="G24" t="s">
        <v>219</v>
      </c>
      <c r="H24" t="s">
        <v>249</v>
      </c>
      <c r="I24" t="s">
        <v>279</v>
      </c>
      <c r="J24" s="1">
        <v>4617000</v>
      </c>
      <c r="K24" s="1">
        <v>21331000</v>
      </c>
      <c r="L24" s="1">
        <v>4745000</v>
      </c>
      <c r="M24" s="1">
        <v>7272000</v>
      </c>
      <c r="N24" s="1">
        <v>1482000</v>
      </c>
      <c r="O24" s="1">
        <v>0.22</v>
      </c>
      <c r="P24">
        <v>-128000</v>
      </c>
      <c r="Q24">
        <v>-0.01</v>
      </c>
      <c r="R24">
        <v>4.91</v>
      </c>
      <c r="S24">
        <f>IFERROR(J24/K24,"")</f>
        <v>0</v>
      </c>
      <c r="T24">
        <f>IFERROR((J24-L24)/K24,"")</f>
        <v>0</v>
      </c>
      <c r="U24">
        <f>IFERROR(M24/N24,"")</f>
        <v>0</v>
      </c>
    </row>
    <row r="25" spans="1:21">
      <c r="A25" t="s">
        <v>84</v>
      </c>
      <c r="B25" t="s">
        <v>155</v>
      </c>
      <c r="C25" t="s">
        <v>185</v>
      </c>
      <c r="D25" t="s">
        <v>192</v>
      </c>
      <c r="E25">
        <v>77608000</v>
      </c>
      <c r="F25">
        <v>27640000</v>
      </c>
      <c r="G25" t="s">
        <v>220</v>
      </c>
      <c r="H25" t="s">
        <v>250</v>
      </c>
      <c r="I25" t="s">
        <v>280</v>
      </c>
      <c r="J25" s="1">
        <v>6208000</v>
      </c>
      <c r="K25" s="1">
        <v>4376000</v>
      </c>
      <c r="L25" s="1">
        <v>2036000</v>
      </c>
      <c r="M25" s="1">
        <v>3445000</v>
      </c>
      <c r="N25" s="1">
        <v>1149000</v>
      </c>
      <c r="O25" s="1">
        <v>1.42</v>
      </c>
      <c r="P25">
        <v>4172000</v>
      </c>
      <c r="Q25">
        <v>0.95</v>
      </c>
      <c r="R25">
        <v>3</v>
      </c>
      <c r="S25">
        <f>IFERROR(J25/K25,"")</f>
        <v>0</v>
      </c>
      <c r="T25">
        <f>IFERROR((J25-L25)/K25,"")</f>
        <v>0</v>
      </c>
      <c r="U25">
        <f>IFERROR(M25/N25,"")</f>
        <v>0</v>
      </c>
    </row>
    <row r="26" spans="1:21">
      <c r="A26" t="s">
        <v>85</v>
      </c>
      <c r="B26" t="s">
        <v>156</v>
      </c>
      <c r="C26" t="s">
        <v>186</v>
      </c>
      <c r="D26" t="s">
        <v>195</v>
      </c>
      <c r="E26">
        <v>67448000</v>
      </c>
      <c r="F26">
        <v>28091000</v>
      </c>
      <c r="G26" t="s">
        <v>221</v>
      </c>
      <c r="H26" t="s">
        <v>251</v>
      </c>
      <c r="I26" t="s">
        <v>281</v>
      </c>
      <c r="J26" s="1">
        <v>23147000</v>
      </c>
      <c r="K26" s="1">
        <v>17952000</v>
      </c>
      <c r="L26" s="1">
        <v>3057000</v>
      </c>
      <c r="M26" s="1">
        <v>18319000</v>
      </c>
      <c r="N26" s="1">
        <v>1684000</v>
      </c>
      <c r="O26" s="1">
        <v>1.29</v>
      </c>
      <c r="P26">
        <v>20090000</v>
      </c>
      <c r="Q26">
        <v>1.12</v>
      </c>
      <c r="R26">
        <v>10.88</v>
      </c>
      <c r="S26">
        <f>IFERROR(J26/K26,"")</f>
        <v>0</v>
      </c>
      <c r="T26">
        <f>IFERROR((J26-L26)/K26,"")</f>
        <v>0</v>
      </c>
      <c r="U26">
        <f>IFERROR(M26/N26,"")</f>
        <v>0</v>
      </c>
    </row>
    <row r="27" spans="1:21">
      <c r="A27" t="s">
        <v>86</v>
      </c>
      <c r="B27" t="s">
        <v>157</v>
      </c>
      <c r="C27" t="s">
        <v>187</v>
      </c>
      <c r="D27" t="s">
        <v>192</v>
      </c>
      <c r="E27">
        <v>67147000</v>
      </c>
      <c r="F27">
        <v>43845000</v>
      </c>
      <c r="G27" t="s">
        <v>222</v>
      </c>
      <c r="H27" t="s">
        <v>252</v>
      </c>
      <c r="I27" t="s">
        <v>282</v>
      </c>
      <c r="J27" s="1">
        <v>10475000</v>
      </c>
      <c r="K27" s="1">
        <v>21351000</v>
      </c>
      <c r="L27" s="1">
        <v>4919000</v>
      </c>
      <c r="M27" s="1">
        <v>8659000</v>
      </c>
      <c r="N27" s="1">
        <v>280000</v>
      </c>
      <c r="O27" s="1">
        <v>0.49</v>
      </c>
      <c r="P27">
        <v>5556000</v>
      </c>
      <c r="Q27">
        <v>0.26</v>
      </c>
      <c r="R27">
        <v>30.92</v>
      </c>
      <c r="S27">
        <f>IFERROR(J27/K27,"")</f>
        <v>0</v>
      </c>
      <c r="T27">
        <f>IFERROR((J27-L27)/K27,"")</f>
        <v>0</v>
      </c>
      <c r="U27">
        <f>IFERROR(M27/N27,"")</f>
        <v>0</v>
      </c>
    </row>
    <row r="28" spans="1:21">
      <c r="A28" t="s">
        <v>87</v>
      </c>
      <c r="B28" t="s">
        <v>158</v>
      </c>
      <c r="C28" t="s">
        <v>188</v>
      </c>
      <c r="D28" t="s">
        <v>192</v>
      </c>
      <c r="E28">
        <v>37761000</v>
      </c>
      <c r="F28">
        <v>20234000</v>
      </c>
      <c r="G28" t="s">
        <v>223</v>
      </c>
      <c r="H28" t="s">
        <v>253</v>
      </c>
      <c r="I28" t="s">
        <v>283</v>
      </c>
      <c r="J28" s="1">
        <v>18341000</v>
      </c>
      <c r="K28" s="1">
        <v>9775000</v>
      </c>
      <c r="L28" s="1">
        <v>3214000</v>
      </c>
      <c r="M28" s="1">
        <v>17437000</v>
      </c>
      <c r="N28" s="1">
        <v>1591000</v>
      </c>
      <c r="O28" s="1">
        <v>1.88</v>
      </c>
      <c r="P28">
        <v>15127000</v>
      </c>
      <c r="Q28">
        <v>1.55</v>
      </c>
      <c r="R28">
        <v>10.96</v>
      </c>
      <c r="S28">
        <f>IFERROR(J28/K28,"")</f>
        <v>0</v>
      </c>
      <c r="T28">
        <f>IFERROR((J28-L28)/K28,"")</f>
        <v>0</v>
      </c>
      <c r="U28">
        <f>IFERROR(M28/N28,"")</f>
        <v>0</v>
      </c>
    </row>
    <row r="29" spans="1:21">
      <c r="A29" t="s">
        <v>88</v>
      </c>
      <c r="B29" t="s">
        <v>159</v>
      </c>
      <c r="C29" t="s">
        <v>189</v>
      </c>
      <c r="D29" t="s">
        <v>196</v>
      </c>
      <c r="E29">
        <v>33478000</v>
      </c>
      <c r="F29">
        <v>6787000</v>
      </c>
      <c r="G29" t="s">
        <v>224</v>
      </c>
      <c r="H29" t="s">
        <v>254</v>
      </c>
      <c r="I29" t="s">
        <v>284</v>
      </c>
      <c r="J29" s="1">
        <v>25270000</v>
      </c>
      <c r="K29" s="1">
        <v>10843000</v>
      </c>
      <c r="L29" s="1">
        <v>3731000</v>
      </c>
      <c r="M29" s="1">
        <v>4631000</v>
      </c>
      <c r="N29" s="1">
        <v>403000</v>
      </c>
      <c r="O29" s="1">
        <v>2.33</v>
      </c>
      <c r="P29">
        <v>21539000</v>
      </c>
      <c r="Q29">
        <v>1.99</v>
      </c>
      <c r="R29">
        <v>11.49</v>
      </c>
      <c r="S29">
        <f>IFERROR(J29/K29,"")</f>
        <v>0</v>
      </c>
      <c r="T29">
        <f>IFERROR((J29-L29)/K29,"")</f>
        <v>0</v>
      </c>
      <c r="U29">
        <f>IFERROR(M29/N29,"")</f>
        <v>0</v>
      </c>
    </row>
    <row r="30" spans="1:21">
      <c r="A30" t="s">
        <v>89</v>
      </c>
      <c r="B30" t="s">
        <v>160</v>
      </c>
      <c r="C30" t="s">
        <v>190</v>
      </c>
      <c r="D30" t="s">
        <v>194</v>
      </c>
      <c r="E30">
        <v>22236000</v>
      </c>
      <c r="F30">
        <v>1536000</v>
      </c>
      <c r="G30" t="s">
        <v>225</v>
      </c>
      <c r="H30" t="s">
        <v>255</v>
      </c>
      <c r="I30" t="s">
        <v>285</v>
      </c>
      <c r="J30" s="1">
        <v>34582000</v>
      </c>
      <c r="K30" s="1">
        <v>15154000</v>
      </c>
      <c r="L30" s="1">
        <v>5702000</v>
      </c>
      <c r="M30" s="1">
        <v>14434000</v>
      </c>
      <c r="N30" s="1">
        <v>327000</v>
      </c>
      <c r="O30" s="1">
        <v>2.28</v>
      </c>
      <c r="P30">
        <v>28880000</v>
      </c>
      <c r="Q30">
        <v>1.91</v>
      </c>
      <c r="R30">
        <v>44.14</v>
      </c>
      <c r="S30">
        <f>IFERROR(J30/K30,"")</f>
        <v>0</v>
      </c>
      <c r="T30">
        <f>IFERROR((J30-L30)/K30,"")</f>
        <v>0</v>
      </c>
      <c r="U30">
        <f>IFERROR(M30/N30,"")</f>
        <v>0</v>
      </c>
    </row>
    <row r="31" spans="1:21">
      <c r="A31" t="s">
        <v>90</v>
      </c>
      <c r="B31" t="s">
        <v>161</v>
      </c>
      <c r="C31" t="s">
        <v>191</v>
      </c>
      <c r="D31" t="s">
        <v>192</v>
      </c>
      <c r="E31">
        <v>4982000</v>
      </c>
      <c r="F31">
        <v>37781000</v>
      </c>
      <c r="G31" t="s">
        <v>226</v>
      </c>
      <c r="H31" t="s">
        <v>256</v>
      </c>
      <c r="I31" t="s">
        <v>286</v>
      </c>
      <c r="J31" s="1">
        <v>2158000</v>
      </c>
      <c r="K31" s="1">
        <v>901000</v>
      </c>
      <c r="L31" s="1">
        <v>3467000</v>
      </c>
      <c r="M31" s="1">
        <v>15978000</v>
      </c>
      <c r="N31" s="1">
        <v>329000</v>
      </c>
      <c r="O31" s="1">
        <v>2.4</v>
      </c>
      <c r="P31">
        <v>-1309000</v>
      </c>
      <c r="Q31">
        <v>-1.45</v>
      </c>
      <c r="R31">
        <v>48.57</v>
      </c>
      <c r="S31">
        <f>IFERROR(J31/K31,"")</f>
        <v>0</v>
      </c>
      <c r="T31">
        <f>IFERROR((J31-L31)/K31,"")</f>
        <v>0</v>
      </c>
      <c r="U31">
        <f>IFERROR(M31/N31,"")</f>
        <v>0</v>
      </c>
    </row>
  </sheetData>
  <autoFilter ref="A1:R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2" t="s">
        <v>0</v>
      </c>
      <c r="B1" s="2" t="s">
        <v>2</v>
      </c>
      <c r="C1" s="2" t="s">
        <v>1</v>
      </c>
      <c r="D1" s="2" t="s">
        <v>5</v>
      </c>
      <c r="E1" s="2" t="s">
        <v>8</v>
      </c>
      <c r="F1" s="2" t="s">
        <v>9</v>
      </c>
      <c r="G1" s="2" t="s">
        <v>10</v>
      </c>
      <c r="H1" s="2" t="s">
        <v>22</v>
      </c>
      <c r="I1" s="2" t="s">
        <v>11</v>
      </c>
      <c r="J1" s="2" t="s">
        <v>287</v>
      </c>
      <c r="K1" s="2" t="s">
        <v>288</v>
      </c>
      <c r="L1" s="2" t="s">
        <v>289</v>
      </c>
    </row>
    <row r="2" spans="1:12">
      <c r="A2" t="s">
        <v>25</v>
      </c>
      <c r="B2" t="s">
        <v>61</v>
      </c>
      <c r="C2" t="s">
        <v>55</v>
      </c>
      <c r="D2">
        <v>13915000</v>
      </c>
      <c r="E2">
        <v>611</v>
      </c>
      <c r="F2">
        <v>0.82</v>
      </c>
      <c r="G2">
        <v>98</v>
      </c>
      <c r="H2">
        <v>100</v>
      </c>
      <c r="I2">
        <v>2</v>
      </c>
      <c r="J2">
        <v>43.32077922077922</v>
      </c>
      <c r="K2">
        <v>30</v>
      </c>
      <c r="L2" t="s">
        <v>290</v>
      </c>
    </row>
    <row r="3" spans="1:12">
      <c r="A3" t="s">
        <v>26</v>
      </c>
      <c r="B3" t="s">
        <v>62</v>
      </c>
      <c r="C3" t="s">
        <v>56</v>
      </c>
      <c r="D3">
        <v>10964000</v>
      </c>
      <c r="E3">
        <v>765</v>
      </c>
      <c r="F3">
        <v>1.44</v>
      </c>
      <c r="G3">
        <v>97.40000000000001</v>
      </c>
      <c r="H3">
        <v>86.5</v>
      </c>
      <c r="I3">
        <v>2.6</v>
      </c>
      <c r="J3">
        <v>53.59935064935065</v>
      </c>
      <c r="K3">
        <v>5</v>
      </c>
      <c r="L3" t="s">
        <v>291</v>
      </c>
    </row>
    <row r="4" spans="1:12">
      <c r="A4" t="s">
        <v>27</v>
      </c>
      <c r="B4" t="s">
        <v>63</v>
      </c>
      <c r="C4" t="s">
        <v>57</v>
      </c>
      <c r="D4">
        <v>5033000</v>
      </c>
      <c r="E4">
        <v>648</v>
      </c>
      <c r="F4">
        <v>1.07</v>
      </c>
      <c r="G4">
        <v>47.6</v>
      </c>
      <c r="H4">
        <v>74.8</v>
      </c>
      <c r="I4">
        <v>52.4</v>
      </c>
      <c r="J4">
        <v>54.68467532467533</v>
      </c>
      <c r="K4">
        <v>30</v>
      </c>
      <c r="L4" t="s">
        <v>290</v>
      </c>
    </row>
    <row r="5" spans="1:12">
      <c r="A5" t="s">
        <v>28</v>
      </c>
      <c r="B5" t="s">
        <v>64</v>
      </c>
      <c r="C5" t="s">
        <v>56</v>
      </c>
      <c r="D5">
        <v>8643000</v>
      </c>
      <c r="E5">
        <v>721</v>
      </c>
      <c r="F5">
        <v>3.3</v>
      </c>
      <c r="G5">
        <v>64.8</v>
      </c>
      <c r="H5">
        <v>100</v>
      </c>
      <c r="I5">
        <v>35.2</v>
      </c>
      <c r="J5">
        <v>75.33506493506492</v>
      </c>
      <c r="K5">
        <v>0</v>
      </c>
      <c r="L5" t="s">
        <v>291</v>
      </c>
    </row>
    <row r="6" spans="1:12">
      <c r="A6" t="s">
        <v>29</v>
      </c>
      <c r="B6" t="s">
        <v>65</v>
      </c>
      <c r="C6" t="s">
        <v>56</v>
      </c>
      <c r="D6">
        <v>7908000</v>
      </c>
      <c r="E6">
        <v>763</v>
      </c>
      <c r="F6">
        <v>2.94</v>
      </c>
      <c r="G6">
        <v>51.1</v>
      </c>
      <c r="H6">
        <v>100</v>
      </c>
      <c r="I6">
        <v>48.9</v>
      </c>
      <c r="J6">
        <v>78.47954545454544</v>
      </c>
      <c r="K6">
        <v>0</v>
      </c>
      <c r="L6" t="s">
        <v>291</v>
      </c>
    </row>
    <row r="7" spans="1:12">
      <c r="A7" t="s">
        <v>30</v>
      </c>
      <c r="B7" t="s">
        <v>66</v>
      </c>
      <c r="C7" t="s">
        <v>58</v>
      </c>
      <c r="D7">
        <v>14425000</v>
      </c>
      <c r="E7">
        <v>584</v>
      </c>
      <c r="F7">
        <v>2.44</v>
      </c>
      <c r="G7">
        <v>49.9</v>
      </c>
      <c r="H7">
        <v>98.40000000000001</v>
      </c>
      <c r="I7">
        <v>50.1</v>
      </c>
      <c r="J7">
        <v>65.12448051948053</v>
      </c>
      <c r="K7">
        <v>30</v>
      </c>
      <c r="L7" t="s">
        <v>290</v>
      </c>
    </row>
    <row r="8" spans="1:12">
      <c r="A8" t="s">
        <v>31</v>
      </c>
      <c r="B8" t="s">
        <v>67</v>
      </c>
      <c r="C8" t="s">
        <v>57</v>
      </c>
      <c r="D8">
        <v>12699000</v>
      </c>
      <c r="E8">
        <v>776</v>
      </c>
      <c r="F8">
        <v>3.13</v>
      </c>
      <c r="G8">
        <v>32.6</v>
      </c>
      <c r="H8">
        <v>100</v>
      </c>
      <c r="I8">
        <v>67.40000000000001</v>
      </c>
      <c r="J8">
        <v>85.17077922077922</v>
      </c>
      <c r="K8">
        <v>0</v>
      </c>
      <c r="L8" t="s">
        <v>291</v>
      </c>
    </row>
    <row r="9" spans="1:12">
      <c r="A9" t="s">
        <v>32</v>
      </c>
      <c r="B9" t="s">
        <v>68</v>
      </c>
      <c r="C9" t="s">
        <v>57</v>
      </c>
      <c r="D9">
        <v>11260000</v>
      </c>
      <c r="E9">
        <v>650</v>
      </c>
      <c r="F9">
        <v>2.93</v>
      </c>
      <c r="G9">
        <v>72.7</v>
      </c>
      <c r="H9">
        <v>75</v>
      </c>
      <c r="I9">
        <v>27.3</v>
      </c>
      <c r="J9">
        <v>61.84448051948053</v>
      </c>
      <c r="K9">
        <v>5</v>
      </c>
      <c r="L9" t="s">
        <v>291</v>
      </c>
    </row>
    <row r="10" spans="1:12">
      <c r="A10" t="s">
        <v>33</v>
      </c>
      <c r="B10" t="s">
        <v>69</v>
      </c>
      <c r="C10" t="s">
        <v>57</v>
      </c>
      <c r="D10">
        <v>8187000</v>
      </c>
      <c r="E10">
        <v>680</v>
      </c>
      <c r="F10">
        <v>1.14</v>
      </c>
      <c r="G10">
        <v>65.2</v>
      </c>
      <c r="H10">
        <v>78</v>
      </c>
      <c r="I10">
        <v>34.8</v>
      </c>
      <c r="J10">
        <v>53.17012987012987</v>
      </c>
      <c r="K10">
        <v>15</v>
      </c>
      <c r="L10" t="s">
        <v>291</v>
      </c>
    </row>
    <row r="11" spans="1:12">
      <c r="A11" t="s">
        <v>34</v>
      </c>
      <c r="B11" t="s">
        <v>70</v>
      </c>
      <c r="C11" t="s">
        <v>56</v>
      </c>
      <c r="D11">
        <v>8884000</v>
      </c>
      <c r="E11">
        <v>806</v>
      </c>
      <c r="F11">
        <v>3.19</v>
      </c>
      <c r="G11">
        <v>33.6</v>
      </c>
      <c r="H11">
        <v>100</v>
      </c>
      <c r="I11">
        <v>66.40000000000001</v>
      </c>
      <c r="J11">
        <v>86.98571428571429</v>
      </c>
      <c r="K11">
        <v>30</v>
      </c>
      <c r="L11" t="s">
        <v>290</v>
      </c>
    </row>
    <row r="12" spans="1:12">
      <c r="A12" t="s">
        <v>35</v>
      </c>
      <c r="B12" t="s">
        <v>71</v>
      </c>
      <c r="C12" t="s">
        <v>55</v>
      </c>
      <c r="D12">
        <v>14486000</v>
      </c>
      <c r="E12">
        <v>554</v>
      </c>
      <c r="F12">
        <v>2.16</v>
      </c>
      <c r="G12">
        <v>49.5</v>
      </c>
      <c r="H12">
        <v>91.90000000000001</v>
      </c>
      <c r="I12">
        <v>50.5</v>
      </c>
      <c r="J12">
        <v>60.28811688311688</v>
      </c>
      <c r="K12">
        <v>5</v>
      </c>
      <c r="L12" t="s">
        <v>291</v>
      </c>
    </row>
    <row r="13" spans="1:12">
      <c r="A13" t="s">
        <v>36</v>
      </c>
      <c r="B13" t="s">
        <v>72</v>
      </c>
      <c r="C13" t="s">
        <v>57</v>
      </c>
      <c r="D13">
        <v>9184000</v>
      </c>
      <c r="E13">
        <v>767</v>
      </c>
      <c r="F13">
        <v>2.94</v>
      </c>
      <c r="G13">
        <v>93.59999999999999</v>
      </c>
      <c r="H13">
        <v>100</v>
      </c>
      <c r="I13">
        <v>6.4</v>
      </c>
      <c r="J13">
        <v>68.07272727272729</v>
      </c>
      <c r="K13">
        <v>0</v>
      </c>
      <c r="L13" t="s">
        <v>291</v>
      </c>
    </row>
    <row r="14" spans="1:12">
      <c r="A14" t="s">
        <v>37</v>
      </c>
      <c r="B14" t="s">
        <v>73</v>
      </c>
      <c r="C14" t="s">
        <v>59</v>
      </c>
      <c r="D14">
        <v>4285000</v>
      </c>
      <c r="E14">
        <v>804</v>
      </c>
      <c r="F14">
        <v>3.2</v>
      </c>
      <c r="G14">
        <v>46.8</v>
      </c>
      <c r="H14">
        <v>100</v>
      </c>
      <c r="I14">
        <v>53.2</v>
      </c>
      <c r="J14">
        <v>83.64805194805194</v>
      </c>
      <c r="K14">
        <v>15</v>
      </c>
      <c r="L14" t="s">
        <v>291</v>
      </c>
    </row>
    <row r="15" spans="1:12">
      <c r="A15" t="s">
        <v>38</v>
      </c>
      <c r="B15" t="s">
        <v>74</v>
      </c>
      <c r="C15" t="s">
        <v>56</v>
      </c>
      <c r="D15">
        <v>4585000</v>
      </c>
      <c r="E15">
        <v>756</v>
      </c>
      <c r="F15">
        <v>1.52</v>
      </c>
      <c r="G15">
        <v>40.1</v>
      </c>
      <c r="H15">
        <v>85.59999999999999</v>
      </c>
      <c r="I15">
        <v>59.9</v>
      </c>
      <c r="J15">
        <v>67.82487012987013</v>
      </c>
      <c r="K15">
        <v>15</v>
      </c>
      <c r="L15" t="s">
        <v>291</v>
      </c>
    </row>
    <row r="16" spans="1:12">
      <c r="A16" t="s">
        <v>39</v>
      </c>
      <c r="B16" t="s">
        <v>75</v>
      </c>
      <c r="C16" t="s">
        <v>58</v>
      </c>
      <c r="D16">
        <v>2646000</v>
      </c>
      <c r="E16">
        <v>564</v>
      </c>
      <c r="F16">
        <v>0.92</v>
      </c>
      <c r="G16">
        <v>64.3</v>
      </c>
      <c r="H16">
        <v>92.90000000000001</v>
      </c>
      <c r="I16">
        <v>35.7</v>
      </c>
      <c r="J16">
        <v>48.47642857142857</v>
      </c>
      <c r="K16">
        <v>45</v>
      </c>
      <c r="L16" t="s">
        <v>290</v>
      </c>
    </row>
    <row r="17" spans="1:12">
      <c r="A17" t="s">
        <v>40</v>
      </c>
      <c r="B17" t="s">
        <v>76</v>
      </c>
      <c r="C17" t="s">
        <v>55</v>
      </c>
      <c r="D17">
        <v>431000</v>
      </c>
      <c r="E17">
        <v>591</v>
      </c>
      <c r="F17">
        <v>1.26</v>
      </c>
      <c r="G17">
        <v>99</v>
      </c>
      <c r="H17">
        <v>99.09999999999999</v>
      </c>
      <c r="I17">
        <v>1</v>
      </c>
      <c r="J17">
        <v>44.94272727272728</v>
      </c>
      <c r="K17">
        <v>25</v>
      </c>
      <c r="L17" t="s">
        <v>291</v>
      </c>
    </row>
    <row r="18" spans="1:12">
      <c r="A18" t="s">
        <v>41</v>
      </c>
      <c r="B18" t="s">
        <v>77</v>
      </c>
      <c r="C18" t="s">
        <v>59</v>
      </c>
      <c r="D18">
        <v>6466000</v>
      </c>
      <c r="E18">
        <v>728</v>
      </c>
      <c r="F18">
        <v>1.84</v>
      </c>
      <c r="G18">
        <v>46.9</v>
      </c>
      <c r="H18">
        <v>100</v>
      </c>
      <c r="I18">
        <v>53.1</v>
      </c>
      <c r="J18">
        <v>69.76331168831169</v>
      </c>
      <c r="K18">
        <v>0</v>
      </c>
      <c r="L18" t="s">
        <v>291</v>
      </c>
    </row>
    <row r="19" spans="1:12">
      <c r="A19" t="s">
        <v>42</v>
      </c>
      <c r="B19" t="s">
        <v>78</v>
      </c>
      <c r="C19" t="s">
        <v>59</v>
      </c>
      <c r="D19">
        <v>6044000</v>
      </c>
      <c r="E19">
        <v>612</v>
      </c>
      <c r="F19">
        <v>2.97</v>
      </c>
      <c r="G19">
        <v>77</v>
      </c>
      <c r="H19">
        <v>93.7</v>
      </c>
      <c r="I19">
        <v>23</v>
      </c>
      <c r="J19">
        <v>62.72246753246753</v>
      </c>
      <c r="K19">
        <v>5</v>
      </c>
      <c r="L19" t="s">
        <v>291</v>
      </c>
    </row>
    <row r="20" spans="1:12">
      <c r="A20" t="s">
        <v>43</v>
      </c>
      <c r="B20" t="s">
        <v>79</v>
      </c>
      <c r="C20" t="s">
        <v>58</v>
      </c>
      <c r="D20">
        <v>4544000</v>
      </c>
      <c r="E20">
        <v>780</v>
      </c>
      <c r="F20">
        <v>3.1</v>
      </c>
      <c r="G20">
        <v>83.3</v>
      </c>
      <c r="H20">
        <v>100</v>
      </c>
      <c r="I20">
        <v>16.7</v>
      </c>
      <c r="J20">
        <v>72.49967532467532</v>
      </c>
      <c r="K20">
        <v>0</v>
      </c>
      <c r="L20" t="s">
        <v>291</v>
      </c>
    </row>
    <row r="21" spans="1:12">
      <c r="A21" t="s">
        <v>44</v>
      </c>
      <c r="B21" t="s">
        <v>80</v>
      </c>
      <c r="C21" t="s">
        <v>55</v>
      </c>
      <c r="D21">
        <v>408000</v>
      </c>
      <c r="E21">
        <v>790</v>
      </c>
      <c r="F21">
        <v>0.62</v>
      </c>
      <c r="G21">
        <v>46.6</v>
      </c>
      <c r="H21">
        <v>100</v>
      </c>
      <c r="I21">
        <v>53.4</v>
      </c>
      <c r="J21">
        <v>64.50584415584414</v>
      </c>
      <c r="K21">
        <v>25</v>
      </c>
      <c r="L21" t="s">
        <v>291</v>
      </c>
    </row>
    <row r="22" spans="1:12">
      <c r="A22" t="s">
        <v>45</v>
      </c>
      <c r="B22" t="s">
        <v>81</v>
      </c>
      <c r="C22" t="s">
        <v>56</v>
      </c>
      <c r="D22">
        <v>3143000</v>
      </c>
      <c r="E22">
        <v>601</v>
      </c>
      <c r="F22">
        <v>2.08</v>
      </c>
      <c r="G22">
        <v>81</v>
      </c>
      <c r="H22">
        <v>99.59999999999999</v>
      </c>
      <c r="I22">
        <v>19</v>
      </c>
      <c r="J22">
        <v>55.94532467532468</v>
      </c>
      <c r="K22">
        <v>5</v>
      </c>
      <c r="L22" t="s">
        <v>291</v>
      </c>
    </row>
    <row r="23" spans="1:12">
      <c r="A23" t="s">
        <v>46</v>
      </c>
      <c r="B23" t="s">
        <v>82</v>
      </c>
      <c r="C23" t="s">
        <v>60</v>
      </c>
      <c r="D23">
        <v>10728000</v>
      </c>
      <c r="E23">
        <v>645</v>
      </c>
      <c r="F23">
        <v>1.81</v>
      </c>
      <c r="G23">
        <v>55.7</v>
      </c>
      <c r="H23">
        <v>97</v>
      </c>
      <c r="I23">
        <v>44.3</v>
      </c>
      <c r="J23">
        <v>62.22175324675325</v>
      </c>
      <c r="K23">
        <v>5</v>
      </c>
      <c r="L23" t="s">
        <v>291</v>
      </c>
    </row>
    <row r="24" spans="1:12">
      <c r="A24" t="s">
        <v>47</v>
      </c>
      <c r="B24" t="s">
        <v>83</v>
      </c>
      <c r="C24" t="s">
        <v>55</v>
      </c>
      <c r="D24">
        <v>11895000</v>
      </c>
      <c r="E24">
        <v>771</v>
      </c>
      <c r="F24">
        <v>1.24</v>
      </c>
      <c r="G24">
        <v>74.3</v>
      </c>
      <c r="H24">
        <v>100</v>
      </c>
      <c r="I24">
        <v>25.7</v>
      </c>
      <c r="J24">
        <v>60.97305194805195</v>
      </c>
      <c r="K24">
        <v>30</v>
      </c>
      <c r="L24" t="s">
        <v>290</v>
      </c>
    </row>
    <row r="25" spans="1:12">
      <c r="A25" t="s">
        <v>48</v>
      </c>
      <c r="B25" t="s">
        <v>84</v>
      </c>
      <c r="C25" t="s">
        <v>58</v>
      </c>
      <c r="D25">
        <v>9168000</v>
      </c>
      <c r="E25">
        <v>780</v>
      </c>
      <c r="F25">
        <v>0.95</v>
      </c>
      <c r="G25">
        <v>74.3</v>
      </c>
      <c r="H25">
        <v>100</v>
      </c>
      <c r="I25">
        <v>25.7</v>
      </c>
      <c r="J25">
        <v>59.39253246753245</v>
      </c>
      <c r="K25">
        <v>40</v>
      </c>
      <c r="L25" t="s">
        <v>290</v>
      </c>
    </row>
    <row r="26" spans="1:12">
      <c r="A26" t="s">
        <v>49</v>
      </c>
      <c r="B26" t="s">
        <v>85</v>
      </c>
      <c r="C26" t="s">
        <v>59</v>
      </c>
      <c r="D26">
        <v>13909000</v>
      </c>
      <c r="E26">
        <v>786</v>
      </c>
      <c r="F26">
        <v>1.58</v>
      </c>
      <c r="G26">
        <v>67.5</v>
      </c>
      <c r="H26">
        <v>100</v>
      </c>
      <c r="I26">
        <v>32.5</v>
      </c>
      <c r="J26">
        <v>65.91980519480519</v>
      </c>
      <c r="K26">
        <v>15</v>
      </c>
      <c r="L26" t="s">
        <v>291</v>
      </c>
    </row>
    <row r="27" spans="1:12">
      <c r="A27" t="s">
        <v>50</v>
      </c>
      <c r="B27" t="s">
        <v>86</v>
      </c>
      <c r="C27" t="s">
        <v>56</v>
      </c>
      <c r="D27">
        <v>9836000</v>
      </c>
      <c r="E27">
        <v>692</v>
      </c>
      <c r="F27">
        <v>3.33</v>
      </c>
      <c r="G27">
        <v>36.3</v>
      </c>
      <c r="H27">
        <v>100</v>
      </c>
      <c r="I27">
        <v>63.7</v>
      </c>
      <c r="J27">
        <v>81.09253246753248</v>
      </c>
      <c r="K27">
        <v>0</v>
      </c>
      <c r="L27" t="s">
        <v>291</v>
      </c>
    </row>
    <row r="28" spans="1:12">
      <c r="A28" t="s">
        <v>51</v>
      </c>
      <c r="B28" t="s">
        <v>87</v>
      </c>
      <c r="C28" t="s">
        <v>55</v>
      </c>
      <c r="D28">
        <v>13741000</v>
      </c>
      <c r="E28">
        <v>720</v>
      </c>
      <c r="F28">
        <v>1.54</v>
      </c>
      <c r="G28">
        <v>88.5</v>
      </c>
      <c r="H28">
        <v>100</v>
      </c>
      <c r="I28">
        <v>11.5</v>
      </c>
      <c r="J28">
        <v>56.78409090909091</v>
      </c>
      <c r="K28">
        <v>5</v>
      </c>
      <c r="L28" t="s">
        <v>291</v>
      </c>
    </row>
    <row r="29" spans="1:12">
      <c r="A29" t="s">
        <v>52</v>
      </c>
      <c r="B29" t="s">
        <v>88</v>
      </c>
      <c r="C29" t="s">
        <v>60</v>
      </c>
      <c r="D29">
        <v>12781000</v>
      </c>
      <c r="E29">
        <v>578</v>
      </c>
      <c r="F29">
        <v>2.1</v>
      </c>
      <c r="G29">
        <v>52.5</v>
      </c>
      <c r="H29">
        <v>82.8</v>
      </c>
      <c r="I29">
        <v>47.5</v>
      </c>
      <c r="J29">
        <v>58.59863636363637</v>
      </c>
      <c r="K29">
        <v>5</v>
      </c>
      <c r="L29" t="s">
        <v>291</v>
      </c>
    </row>
    <row r="30" spans="1:12">
      <c r="A30" t="s">
        <v>53</v>
      </c>
      <c r="B30" t="s">
        <v>89</v>
      </c>
      <c r="C30" t="s">
        <v>60</v>
      </c>
      <c r="D30">
        <v>6852000</v>
      </c>
      <c r="E30">
        <v>585</v>
      </c>
      <c r="F30">
        <v>2.64</v>
      </c>
      <c r="G30">
        <v>43.1</v>
      </c>
      <c r="H30">
        <v>95</v>
      </c>
      <c r="I30">
        <v>56.9</v>
      </c>
      <c r="J30">
        <v>67.6275974025974</v>
      </c>
      <c r="K30">
        <v>15</v>
      </c>
      <c r="L30" t="s">
        <v>291</v>
      </c>
    </row>
    <row r="31" spans="1:12">
      <c r="A31" t="s">
        <v>54</v>
      </c>
      <c r="B31" t="s">
        <v>90</v>
      </c>
      <c r="C31" t="s">
        <v>57</v>
      </c>
      <c r="D31">
        <v>1612000</v>
      </c>
      <c r="E31">
        <v>562</v>
      </c>
      <c r="F31">
        <v>1.65</v>
      </c>
      <c r="G31">
        <v>32.9</v>
      </c>
      <c r="H31">
        <v>81.2</v>
      </c>
      <c r="I31">
        <v>67.09999999999999</v>
      </c>
      <c r="J31">
        <v>59.09162337662338</v>
      </c>
      <c r="K31">
        <v>20</v>
      </c>
      <c r="L31" t="s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8.7109375" customWidth="1"/>
  </cols>
  <sheetData>
    <row r="1" spans="1:4">
      <c r="A1" s="2" t="s">
        <v>1</v>
      </c>
      <c r="B1" s="2" t="s">
        <v>114</v>
      </c>
      <c r="C1" s="2" t="s">
        <v>113</v>
      </c>
      <c r="D1" s="2" t="s">
        <v>112</v>
      </c>
    </row>
    <row r="2" spans="1:4">
      <c r="A2" t="s">
        <v>60</v>
      </c>
      <c r="B2">
        <v>30361000</v>
      </c>
      <c r="C2">
        <v>0</v>
      </c>
      <c r="D2">
        <v>0</v>
      </c>
    </row>
    <row r="3" spans="1:4">
      <c r="A3" t="s">
        <v>57</v>
      </c>
      <c r="B3">
        <v>14311000</v>
      </c>
      <c r="C3">
        <v>24480000</v>
      </c>
      <c r="D3">
        <v>9184000</v>
      </c>
    </row>
    <row r="4" spans="1:4">
      <c r="A4" t="s">
        <v>59</v>
      </c>
      <c r="B4">
        <v>19953000</v>
      </c>
      <c r="C4">
        <v>0</v>
      </c>
      <c r="D4">
        <v>10751000</v>
      </c>
    </row>
    <row r="5" spans="1:4">
      <c r="A5" t="s">
        <v>55</v>
      </c>
      <c r="B5">
        <v>26381000</v>
      </c>
      <c r="C5">
        <v>0</v>
      </c>
      <c r="D5">
        <v>28495000</v>
      </c>
    </row>
    <row r="6" spans="1:4">
      <c r="A6" t="s">
        <v>58</v>
      </c>
      <c r="B6">
        <v>2646000</v>
      </c>
      <c r="C6">
        <v>0</v>
      </c>
      <c r="D6">
        <v>28137000</v>
      </c>
    </row>
    <row r="7" spans="1:4">
      <c r="A7" t="s">
        <v>56</v>
      </c>
      <c r="B7">
        <v>20670000</v>
      </c>
      <c r="C7">
        <v>15549000</v>
      </c>
      <c r="D7">
        <v>17744000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2" t="s">
        <v>292</v>
      </c>
      <c r="B1" s="2" t="s">
        <v>293</v>
      </c>
      <c r="C1" s="2" t="s">
        <v>15</v>
      </c>
      <c r="D1" s="2" t="s">
        <v>294</v>
      </c>
      <c r="E1" s="2" t="s">
        <v>295</v>
      </c>
    </row>
    <row r="2" spans="1:5">
      <c r="A2" t="s">
        <v>296</v>
      </c>
      <c r="B2" t="s">
        <v>306</v>
      </c>
      <c r="C2" t="s">
        <v>308</v>
      </c>
      <c r="D2" t="s">
        <v>310</v>
      </c>
    </row>
    <row r="3" spans="1:5">
      <c r="A3" t="s">
        <v>297</v>
      </c>
      <c r="B3" t="s">
        <v>306</v>
      </c>
      <c r="C3" t="s">
        <v>309</v>
      </c>
      <c r="D3" t="s">
        <v>311</v>
      </c>
    </row>
    <row r="4" spans="1:5">
      <c r="A4" t="s">
        <v>298</v>
      </c>
      <c r="B4" t="s">
        <v>306</v>
      </c>
      <c r="C4" t="s">
        <v>309</v>
      </c>
      <c r="D4" t="s">
        <v>312</v>
      </c>
    </row>
    <row r="5" spans="1:5">
      <c r="A5" t="s">
        <v>299</v>
      </c>
      <c r="B5" t="s">
        <v>306</v>
      </c>
      <c r="C5" t="s">
        <v>308</v>
      </c>
      <c r="D5" t="s">
        <v>313</v>
      </c>
    </row>
    <row r="6" spans="1:5">
      <c r="A6" t="s">
        <v>300</v>
      </c>
      <c r="B6" t="s">
        <v>307</v>
      </c>
      <c r="C6" t="s">
        <v>308</v>
      </c>
      <c r="D6" t="s">
        <v>314</v>
      </c>
    </row>
    <row r="7" spans="1:5">
      <c r="A7" t="s">
        <v>301</v>
      </c>
      <c r="B7" t="s">
        <v>307</v>
      </c>
      <c r="C7" t="s">
        <v>309</v>
      </c>
      <c r="D7" t="s">
        <v>315</v>
      </c>
    </row>
    <row r="8" spans="1:5">
      <c r="A8" t="s">
        <v>302</v>
      </c>
      <c r="B8" t="s">
        <v>307</v>
      </c>
      <c r="C8" t="s">
        <v>308</v>
      </c>
      <c r="D8" t="s">
        <v>316</v>
      </c>
    </row>
    <row r="9" spans="1:5">
      <c r="A9" t="s">
        <v>303</v>
      </c>
      <c r="B9" t="s">
        <v>306</v>
      </c>
      <c r="C9" t="s">
        <v>309</v>
      </c>
      <c r="D9" t="s">
        <v>317</v>
      </c>
    </row>
    <row r="10" spans="1:5">
      <c r="A10" t="s">
        <v>304</v>
      </c>
      <c r="B10" t="s">
        <v>306</v>
      </c>
      <c r="C10" t="s">
        <v>309</v>
      </c>
      <c r="D10" t="s">
        <v>318</v>
      </c>
    </row>
    <row r="11" spans="1:5">
      <c r="A11" t="s">
        <v>305</v>
      </c>
      <c r="B11" t="s">
        <v>307</v>
      </c>
      <c r="C11" t="s">
        <v>308</v>
      </c>
      <c r="D11" t="s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B21"/>
  <sheetViews>
    <sheetView workbookViewId="0"/>
  </sheetViews>
  <sheetFormatPr defaultRowHeight="15"/>
  <sheetData>
    <row r="2" spans="1:2">
      <c r="A2" t="s">
        <v>60</v>
      </c>
      <c r="B2">
        <v>30361000</v>
      </c>
    </row>
    <row r="3" spans="1:2">
      <c r="A3" t="s">
        <v>57</v>
      </c>
      <c r="B3">
        <v>47975000</v>
      </c>
    </row>
    <row r="4" spans="1:2">
      <c r="A4" t="s">
        <v>59</v>
      </c>
      <c r="B4">
        <v>30704000</v>
      </c>
    </row>
    <row r="5" spans="1:2">
      <c r="A5" t="s">
        <v>55</v>
      </c>
      <c r="B5">
        <v>54876000</v>
      </c>
    </row>
    <row r="6" spans="1:2">
      <c r="A6" t="s">
        <v>58</v>
      </c>
      <c r="B6">
        <v>30783000</v>
      </c>
    </row>
    <row r="7" spans="1:2">
      <c r="A7" t="s">
        <v>56</v>
      </c>
      <c r="B7">
        <v>53963000</v>
      </c>
    </row>
    <row r="20" spans="1:2">
      <c r="A20" t="s">
        <v>291</v>
      </c>
      <c r="B20">
        <v>23</v>
      </c>
    </row>
    <row r="21" spans="1:2">
      <c r="A21" t="s">
        <v>290</v>
      </c>
      <c r="B2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Loans</vt:lpstr>
      <vt:lpstr>Borrowers</vt:lpstr>
      <vt:lpstr>Credit_Scorecard</vt:lpstr>
      <vt:lpstr>Ageing_Summary</vt:lpstr>
      <vt:lpstr>Audit_Checklist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2025-11-17T18:44:58Z</dcterms:created>
  <dcterms:modified xsi:type="dcterms:W3CDTF">2025-11-17T18:44:58Z</dcterms:modified>
</cp:coreProperties>
</file>